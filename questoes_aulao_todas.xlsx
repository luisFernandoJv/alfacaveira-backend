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ções" sheetId="1" state="visible" r:id="rId3"/>
    <sheet name="Questões" sheetId="2" state="visible" r:id="rId4"/>
  </sheets>
  <definedNames>
    <definedName function="false" hidden="true" localSheetId="1" name="_xlnm._FilterDatabase" vbProcedure="false">Questões!$A$1:$Y$202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<sst xmlns="http://schemas.openxmlformats.org/spreadsheetml/2006/main" count="3799" uniqueCount="1148">
  <si>
    <t xml:space="preserve">Como preencher esta planilha</t>
  </si>
  <si>
    <t xml:space="preserve">• Campos com * são obrigatórios. Os demais podem ficar em branco.</t>
  </si>
  <si>
    <t xml:space="preserve">• Cada LINHA da aba "Questões" (a partir da linha 4) é UMA questão.</t>
  </si>
  <si>
    <t xml:space="preserve">• A linha 1 (cinza, texto pequeno) é técnica — usada pelo importador para saber qual coluna é qual. Não apague nem edite essa linha. A linha 2 é o rótulo que você vê; a linha 3 é um exemplo preenchido.</t>
  </si>
  <si>
    <t xml:space="preserve">• "(slug)": deixe em branco que o sistema gera automaticamente a partir do nome. Só preencha se quiser um slug específico (ex.: já existe um cadastro com esse nome e slug diferente e você quer reaproveitar exatamente aquele registro).</t>
  </si>
  <si>
    <t xml:space="preserve">• Disciplina, Banca, Órgão, Edição e Tags são criados automaticamente se ainda não existirem no sistema — e reaproveitados se já existirem (buscados pelo slug/nome).</t>
  </si>
  <si>
    <t xml:space="preserve">• "Tópico" exige "Assunto" preenchido na mesma linha (tópico pertence a um assunto).</t>
  </si>
  <si>
    <t xml:space="preserve">• "Edição do concurso" exige "Órgão" preenchido na mesma linha.</t>
  </si>
  <si>
    <t xml:space="preserve">• Dificuldade: facil, media ou dificil.</t>
  </si>
  <si>
    <t xml:space="preserve">• Preencha só as alternativas que a questão tiver (mínimo A e B, máximo até E).</t>
  </si>
  <si>
    <t xml:space="preserve">• Letra correta: a letra (A-E) da alternativa certa — precisa bater com uma alternativa preenchida.</t>
  </si>
  <si>
    <t xml:space="preserve">• Tags: nomes separados por vírgula (ex.: pegadinha, letra de lei). Se a tag não existir ainda, é criada.</t>
  </si>
  <si>
    <t xml:space="preserve">• URLs de imagem: se a questão tiver mais de uma imagem, separe as URLs por vírgula. As imagens precisam já estar hospedadas (upload feito antes, num bucket/CDN) — a planilha só guarda o endereço.</t>
  </si>
  <si>
    <t xml:space="preserve">• Publicar já?: "sim" publica a questão imediatamente ao importar; "não" (ou em branco) deixa como rascunho para revisão antes de publicar.</t>
  </si>
  <si>
    <t xml:space="preserve">A primeira linha de dados (destacada em amarelo) é um EXEMPLO preenchido — apague-a ou sobrescreva antes de importar de verdade.</t>
  </si>
  <si>
    <t xml:space="preserve">Depois de preencher, salve o arquivo e rode o importador:</t>
  </si>
  <si>
    <t xml:space="preserve">  python scripts/import_questions.py --file questoes.xlsx --admin-email seu-admin@empresa.com --dry-run</t>
  </si>
  <si>
    <t xml:space="preserve">discipline_name</t>
  </si>
  <si>
    <t xml:space="preserve">discipline_slug</t>
  </si>
  <si>
    <t xml:space="preserve">subject_name</t>
  </si>
  <si>
    <t xml:space="preserve">subject_slug</t>
  </si>
  <si>
    <t xml:space="preserve">topic_name</t>
  </si>
  <si>
    <t xml:space="preserve">topic_slug</t>
  </si>
  <si>
    <t xml:space="preserve">exam_board_name</t>
  </si>
  <si>
    <t xml:space="preserve">exam_board_acronym</t>
  </si>
  <si>
    <t xml:space="preserve">organization_name</t>
  </si>
  <si>
    <t xml:space="preserve">organization_acronym</t>
  </si>
  <si>
    <t xml:space="preserve">exam_edition_name</t>
  </si>
  <si>
    <t xml:space="preserve">exam_edition_year</t>
  </si>
  <si>
    <t xml:space="preserve">year</t>
  </si>
  <si>
    <t xml:space="preserve">difficulty</t>
  </si>
  <si>
    <t xml:space="preserve">statement</t>
  </si>
  <si>
    <t xml:space="preserve">explanation</t>
  </si>
  <si>
    <t xml:space="preserve">alt_a_text</t>
  </si>
  <si>
    <t xml:space="preserve">alt_b_text</t>
  </si>
  <si>
    <t xml:space="preserve">alt_c_text</t>
  </si>
  <si>
    <t xml:space="preserve">alt_d_text</t>
  </si>
  <si>
    <t xml:space="preserve">alt_e_text</t>
  </si>
  <si>
    <t xml:space="preserve">correct_letter</t>
  </si>
  <si>
    <t xml:space="preserve">tags</t>
  </si>
  <si>
    <t xml:space="preserve">image_urls</t>
  </si>
  <si>
    <t xml:space="preserve">publish</t>
  </si>
  <si>
    <t xml:space="preserve">Informática</t>
  </si>
  <si>
    <t xml:space="preserve">informatica</t>
  </si>
  <si>
    <t xml:space="preserve">Conceitos Gerais de Informática e Introdução</t>
  </si>
  <si>
    <t xml:space="preserve">conceitos-gerais-de-informatica-e-introducao</t>
  </si>
  <si>
    <t xml:space="preserve">EDUCA PB</t>
  </si>
  <si>
    <t xml:space="preserve">Pref Cajazeiras</t>
  </si>
  <si>
    <t xml:space="preserve">Concurso Pref Cajazeiras 2026</t>
  </si>
  <si>
    <t xml:space="preserve">media</t>
  </si>
  <si>
    <t xml:space="preserve">Analise as afirmativas a seguir sobre tipos de licenciamento de software e marque V para VERDADEIRO e F para FALSO: ( ) Softwares do tipo freeware são distribuídos gratuitamente, porém não necessariamente possuem código-fonte aberto. ( ) Softwares do tipo shareware são disponibilizados gratuitamente por tempo limitado ou com funcionalidades restritas, incentivando a compra da versão completa. (    ) Softwares comerciais são sempre gratuitos para uso pessoal, sendo cobrados apenas em ambientes corporativos. ( ) Softwares freeware permitem, obrigatoriamente, a modificação do código-fonte por qualquer usuário. Assinale a sequência CORRETA:</t>
  </si>
  <si>
    <t xml:space="preserve">Gabarito: alternativa B.</t>
  </si>
  <si>
    <t xml:space="preserve">F – V – V – F.</t>
  </si>
  <si>
    <t xml:space="preserve">V – V – F – F.</t>
  </si>
  <si>
    <t xml:space="preserve">F – V – F – F.</t>
  </si>
  <si>
    <t xml:space="preserve">V – F – V – F.</t>
  </si>
  <si>
    <t xml:space="preserve">B</t>
  </si>
  <si>
    <t xml:space="preserve">informatica, conceitos-gerais-de-informatica-e-introducao</t>
  </si>
  <si>
    <t xml:space="preserve">não</t>
  </si>
  <si>
    <t xml:space="preserve">Sobre os conceitos de software open source, assinale a opção CORRETA:</t>
  </si>
  <si>
    <t xml:space="preserve">Gabarito: alternativa C.</t>
  </si>
  <si>
    <t xml:space="preserve">Software open source é aquele distribuído gratuitamente, sem possibilidade de acesso ao código-fonte.</t>
  </si>
  <si>
    <t xml:space="preserve">Softwares open source não podem ser utilizados para fins comerciais, sendo restritos ao uso acadêmico.</t>
  </si>
  <si>
    <t xml:space="preserve">O Linux é um exemplo de software open source, permitindo que usuários estudem, modifiquem e distribuam seu código.</t>
  </si>
  <si>
    <t xml:space="preserve">O LibreOffice é um software proprietário, cujo código-fonte não pode ser alterado pelos usuários.</t>
  </si>
  <si>
    <t xml:space="preserve">C</t>
  </si>
  <si>
    <t xml:space="preserve">Pref SJ Rio do Peixe</t>
  </si>
  <si>
    <t xml:space="preserve">Concurso Pref SJ Rio do Peixe 2025</t>
  </si>
  <si>
    <t xml:space="preserve">Sobre os diferentes tipos de softwaree suas características, analise as afirmativas a seguir: I. O software de sistema é responsável por oferecer os recursos básicos para o funcionamento do computador, incluindo o gerenciamento de hardware, sendo o sistema operacional o seu exemplo mais representativo. II. Softwares utilitários são considerados parte do software básico, pois também têm a função de controlar diretamente o hardware, de maneira semelhante ao kernel do sistema operacional. III. Software livre é todo software gratuito, cujo código-fonte é obrigatoriamente fechado para evitar modificações indevidas por parte de usuários não autorizados. IV. Softwares aplicativos têm como principal objetivo atender necessidades específicas do usuário final, como edição de textos, criação de planilhas e navegação na internet. Estão CORRETAS</t>
  </si>
  <si>
    <t xml:space="preserve">Gabarito: alternativa A.</t>
  </si>
  <si>
    <t xml:space="preserve">Apenas I e IV.</t>
  </si>
  <si>
    <t xml:space="preserve">Apenas II e III.</t>
  </si>
  <si>
    <t xml:space="preserve">Apenas I, II e IV.</t>
  </si>
  <si>
    <t xml:space="preserve">Apenas III e IV.</t>
  </si>
  <si>
    <t xml:space="preserve">I, II, III e IV.</t>
  </si>
  <si>
    <t xml:space="preserve">A</t>
  </si>
  <si>
    <t xml:space="preserve">Pref Pedras de Fogo</t>
  </si>
  <si>
    <t xml:space="preserve">Concurso Pref Pedras de Fogo 2025</t>
  </si>
  <si>
    <t xml:space="preserve">Desempenhando um papel vital na vida moderna, os softwares estão presentes em quase todos os segmentos do cotidiano, tanto pessoais quanto profissionais. De usabilidade mais simples de edição de texto até sistemas complexos, facilitando e agilizando tarefas. Sobre os tipos de softwares analise os itens a seguir: I. Word, Excel e PowerPoint são voltados para a produtividade, criação de documentos, planilhas e apresentações. São definidos como software de desenvolvimento. II. Visual Studio, Eclipse e PyCharm são programas projetados para facilitar a comunicação e a gestão de redes de computadores. III. Sistema Operacional, Drivers e Utilitários são componentes essenciais do software de sistema, responsáveis por gerenciar os recursos do computador, permitir a comunicação entre o hardware e o software, e executar tarefas de manutenção e otimização do sistema. Assinale a alternativa CORRETA:</t>
  </si>
  <si>
    <t xml:space="preserve">Apenas o item I está correto.</t>
  </si>
  <si>
    <t xml:space="preserve">Apenas o item II está correto.</t>
  </si>
  <si>
    <t xml:space="preserve">Apenas o item III está correto.</t>
  </si>
  <si>
    <t xml:space="preserve">Apenas os itens I e II estão corretos.</t>
  </si>
  <si>
    <t xml:space="preserve">Apenas os itens II e III estão corretos.</t>
  </si>
  <si>
    <t xml:space="preserve">Pref Sta Cecília PB</t>
  </si>
  <si>
    <t xml:space="preserve">Concurso Pref Sta Cecília PB 2025</t>
  </si>
  <si>
    <t xml:space="preserve">Em um computador, diferentes tipos de softwares são instalados para garantir funcionamento e atender às necessidades do usuário. Considerando as funções de um computador, analise as alternativas e assinale a CORRETA:</t>
  </si>
  <si>
    <t xml:space="preserve">Software de aplicação inclui sistemas operacionais e drivers, pois são essenciais para iniciar e gerenciar o computador.</t>
  </si>
  <si>
    <t xml:space="preserve">Todos os softwares instalados em um computador, incluindo utilitários, drivers e editores de texto, são classificados como software de aplicação.</t>
  </si>
  <si>
    <t xml:space="preserve">Software de sistema gerencia recursos de hardware e oferece suporte aos programas, enquanto software de aplicação atende diretamente às necessidades do usuário.</t>
  </si>
  <si>
    <t xml:space="preserve">Drivers e utilitários são exemplos de software de aplicação, pois sempre requerem interação direta do usuário.</t>
  </si>
  <si>
    <t xml:space="preserve">Uma empresa de contabilidade realiza, ao final de cada mês, o cálculo das folhas de pagamento de todos os seus clientes. Os dados dos funcionários, como horas trabalhadas e descontos, são coletados ao longo do mês e, apenas em uma data específica, são processados todos de uma vez para a geração dos contracheques. Com base nessa situação, assinale a alternativa CORRETA sobre a modalidade de processamento de dados utilizados:</t>
  </si>
  <si>
    <t xml:space="preserve">Processamento em Tempo Real, pois os cálculos são feitos imediatamente após cada dado ser inserido.</t>
  </si>
  <si>
    <t xml:space="preserve">Processamento Online/Interativo, já que os funcionários podem consultar seus salários durante o mês.</t>
  </si>
  <si>
    <t xml:space="preserve">Processamento em Lote (Batch Processing), porque os dados são acumulados e processados todos juntos em um momento programado.</t>
  </si>
  <si>
    <t xml:space="preserve">Processamento Distribuído, visto que a empresa atende clientes de diferentes localidades.</t>
  </si>
  <si>
    <t xml:space="preserve">Processamento Paralelo, pois o cálculo envolve muitos registros sendo processados ao mesmo tempo.</t>
  </si>
  <si>
    <t xml:space="preserve">De acordo com o Artigo 6º da Lei nº 13.709/2018 (LGPD), assinale o princípio que determina que o tratamento de dados pessoais deve ser realizado para propósitos legítimos, específicos, explícitos e informados ao titular, sem possibilidade de uso posterior incompatível com esses objetivos</t>
  </si>
  <si>
    <t xml:space="preserve">Gabarito: alternativa E.</t>
  </si>
  <si>
    <t xml:space="preserve">Adequação.</t>
  </si>
  <si>
    <t xml:space="preserve">Segurança.</t>
  </si>
  <si>
    <t xml:space="preserve">Necessidade.</t>
  </si>
  <si>
    <t xml:space="preserve">Transparência.</t>
  </si>
  <si>
    <t xml:space="preserve">Finalidade.</t>
  </si>
  <si>
    <t xml:space="preserve">E</t>
  </si>
  <si>
    <t xml:space="preserve">“Os programas fazem parte de nossas vidas, eles migraram dos computadores e podem ser encontrados em praticamente qualquer lugar. Estão presentes nas aplicações das assistentes pessoais e até nas chaves eletronicamente codificadas. Diferentes dispositivos vêm se tornando inteligentes, justamente indicando que estamos na era conhecida como “A internet das coisas”. Trata-se de mais passo da evolução tecnológica, no qual aparelhos como TVs, óculos e geladeiras estejam conectados e necessitem de outros tipos de programas. Devido a esta variação de ambientes e objetivos, é natural que existam classificações para os vários tipos de software. Essa diferenciação é necessária para facilitar tanto a vida dos desenvolvedores, como dos usuários finais.” Sobre os tipos de software e suas definições, assinale a alternativa INCORRETA:</t>
  </si>
  <si>
    <t xml:space="preserve">Software de Sistema: São os programas responsáveis pela gestão do hardware e do sistema operacional do computador.</t>
  </si>
  <si>
    <t xml:space="preserve">Software Aplicativo: São programas que realizam tarefas específicas para o usuário final, como edição de textos, planilhas, navegação na internet, etc.</t>
  </si>
  <si>
    <t xml:space="preserve">Software Comercial: São programas gratuitos criados por empresas para ajudar usuários a realizar tarefas simples, como navegar na internet e fazer anotações. Exemplos: Adobe Illustrator, AutoCAD, Microsoft Office.</t>
  </si>
  <si>
    <t xml:space="preserve">Software Web: Programas que são executados diretamente no navegador e acessados via internet.</t>
  </si>
  <si>
    <t xml:space="preserve">Software Mobile: Programas desenvolvidos para dispositivos móveis, como smartphones e tablets.</t>
  </si>
  <si>
    <t xml:space="preserve">Sobre as características de arquivos, analise os textos a seguir: Texto 1: O tamanho de um arquivo é a quantidade de espaço que ele ocupa no disco rígido, geralmente medido em bytes (B), kilobytes (KB), megabytes (MB) ou gigabytes (GB). Texto 2: Arquivos menores são frequentemente medidos em megabytes (MB) ou gigabytes (GB), enquanto arquivos maiores, como vídeos e softwares, são geralmente medidos em bytes (B) ou kilobytes (KB), devido ao seu maior tamanho. Assinale a alternativa CORRETA:</t>
  </si>
  <si>
    <t xml:space="preserve">O texto 1 e 2 estão corretos e ambos se complementam.</t>
  </si>
  <si>
    <t xml:space="preserve">O texto 1 está correto, enquanto o texto 2 está incorreto.</t>
  </si>
  <si>
    <t xml:space="preserve">O texto 1 e 2 estão corretos, mas não se complementam.</t>
  </si>
  <si>
    <t xml:space="preserve">O texto 1 está errado, enquanto o texto 2 está correto.</t>
  </si>
  <si>
    <t xml:space="preserve">Ambos os textos estão errados.</t>
  </si>
  <si>
    <t xml:space="preserve">Concurso Pref Cajazeiras 2024</t>
  </si>
  <si>
    <t xml:space="preserve">Existem várias formas de classificar e utilizar os tipos de software, sem esquecer de considerar a linguagem de programação, uma vez que também é um código. Em relação aos tipos de códigos e suas funções, analise os itens a seguir: I. Software aplicativo - Esses são os aplicativos projetados para solucionar problemas específicos dos usuários. II. Software de programação - São as ferramentas utilizadas pelos desenvolvedores para a programação de novas aplicações e softwares por meio de linguagem de programação específica. III. Software de sistema - São conjuntos de outros softwares que são utilizados com o objetivo de oferecer serviços e funções para outros programas. Está(ão) CORRETO(S):</t>
  </si>
  <si>
    <t xml:space="preserve">I, II, III.</t>
  </si>
  <si>
    <t xml:space="preserve">I, III, apenas.</t>
  </si>
  <si>
    <t xml:space="preserve">III, apenas.</t>
  </si>
  <si>
    <t xml:space="preserve">I, II, apenas.</t>
  </si>
  <si>
    <t xml:space="preserve">II, apenas.</t>
  </si>
  <si>
    <t xml:space="preserve">Processador (CPU) e Arquitetura de Computador</t>
  </si>
  <si>
    <t xml:space="preserve">processador-cpu-e-arquitetura-de-computador</t>
  </si>
  <si>
    <t xml:space="preserve">Pref Umbuzeiro</t>
  </si>
  <si>
    <t xml:space="preserve">Concurso Pref Umbuzeiro 2025</t>
  </si>
  <si>
    <t xml:space="preserve">Componente essencial na arquitetura de computadores, trata-se de um circuito eletrônico integrado cuja principal função é interpretar e executar instruções provenientes de softwares, realizando operações lógicas, aritméticas e de controle, além de gerenciar comunicações entre diferentes dispositivos do sistema por meio de sinais de entrada e saída. Essa unidade atua como o principal executor das tarefas delegadas pelo sistema operacional. Assinale a alternativa que descreve CORRETAMENTE o componente mencionado:</t>
  </si>
  <si>
    <t xml:space="preserve">Memória RAM.</t>
  </si>
  <si>
    <t xml:space="preserve">Placa-mãe.</t>
  </si>
  <si>
    <t xml:space="preserve">Processador.</t>
  </si>
  <si>
    <t xml:space="preserve">Placa de vídeo.</t>
  </si>
  <si>
    <t xml:space="preserve">Fonte de alimentação.</t>
  </si>
  <si>
    <t xml:space="preserve">informatica, processador-cpu-e-arquitetura-de-computador</t>
  </si>
  <si>
    <t xml:space="preserve">Pref Jacaraú</t>
  </si>
  <si>
    <t xml:space="preserve">Concurso Pref Jacaraú 2024</t>
  </si>
  <si>
    <t xml:space="preserve">É uma espécie de microchip especializado. A sua função é acelerar, endereçar, resolver ou preparar dados, dependendo da aplicação. Basicamente, é uma poderosa máquina de calcular. O componente recebe um determinado volume de dados, orientados em padrão binário 0 e 1 e tem a função de responder a esse volume, lendo a informação com base em instruções armazenadas em sua memória interna. É a unidade responsável por traduzir cada comando recebido e gerar uma resposta, seja para abrir um aplicativo ou rodar uma partida de Fortnite. O componente do computador que o texto apresenta, é:</t>
  </si>
  <si>
    <t xml:space="preserve">Placa Mãe.</t>
  </si>
  <si>
    <t xml:space="preserve">HD/SDD</t>
  </si>
  <si>
    <t xml:space="preserve">Pref Pilões</t>
  </si>
  <si>
    <t xml:space="preserve">Concurso Pref Pilões 2023</t>
  </si>
  <si>
    <t xml:space="preserve">Quando se trata da arquitetura de um processador, qual dos seguintes elementos é responsável por buscar instruções da memória principal, interpretá-las, e gerar sinais de controle para outras partes da CPU:</t>
  </si>
  <si>
    <t xml:space="preserve">Unidade de Controle.</t>
  </si>
  <si>
    <t xml:space="preserve">Cache de Controle Nível 3.</t>
  </si>
  <si>
    <t xml:space="preserve">Registradores de Propósito Geral.</t>
  </si>
  <si>
    <t xml:space="preserve">Unidade Aritmética e Lógica.</t>
  </si>
  <si>
    <t xml:space="preserve">Pref Santa Terezinha</t>
  </si>
  <si>
    <t xml:space="preserve">Concurso Pref Santa Terezinha 2022</t>
  </si>
  <si>
    <t xml:space="preserve">A Unidade Central de Processamento (comumente referida por CPU, abreviação do inglês Central Processing Unit) é responsável pelo processamento de dados que os processos (programas em execução), em um nível mais alto, solicitam. Com respeito à CPU, assinale a alternativa INCORRETA:</t>
  </si>
  <si>
    <t xml:space="preserve">RISC e CISC são diferentes arquiteturas de CPU.</t>
  </si>
  <si>
    <t xml:space="preserve">Cache é um tipo de memória que reside na CPU e cujo objetivo é reduzir o tempo que a CPU leva para obter os dados a serem processados.</t>
  </si>
  <si>
    <t xml:space="preserve">A Unidade Lógica Aritmética é um circuito combinatório responsável pela execução de somas, subtrações e funções lógicas executadas sobre valores representados no formato decimal.</t>
  </si>
  <si>
    <t xml:space="preserve">Clocké um circuito oscilador que tem a função de sincronizar e ditar a medida de velocidade de transferência de dados entre duas partes essenciais de um processamento, por exemplo, entre o processador e a memória principal.</t>
  </si>
  <si>
    <t xml:space="preserve">Registradores são o tipo de memória mais rápida da CPU.</t>
  </si>
  <si>
    <t xml:space="preserve">Pref Cabedelo</t>
  </si>
  <si>
    <t xml:space="preserve">Concurso Pref Cabedelo 2020</t>
  </si>
  <si>
    <t xml:space="preserve">“Tem a função “trabalhar” toda a informação que é gerada durante a operação do computador. Interpreta as ações do botão do mouse, e vai trabalha para que o Microsoft Word seja “buscado” no diretório de instalação e faz com que o arquivo seja aberto no programa em questão. O conceito refere-se a(o):</t>
  </si>
  <si>
    <t xml:space="preserve">Gabarito: alternativa D.</t>
  </si>
  <si>
    <t xml:space="preserve">Gabinete.</t>
  </si>
  <si>
    <t xml:space="preserve">Drive Óptico.</t>
  </si>
  <si>
    <t xml:space="preserve">Placa de Vídeo.</t>
  </si>
  <si>
    <t xml:space="preserve">D</t>
  </si>
  <si>
    <t xml:space="preserve">A Unidade Central de Processamento, também conhecida por CPU (abreviatura inglesa para Central Processing Unit), é o componente do computador responsável por executar as instruções de programas. Os elementos mais básicos das CPUs são os transistores, e suas principais funções são amplificar ou atenuar a intensidade da corrente elétrica. Sobre os transistores, analise as sentenças a seguir I. A maioria dos transistores é feita de silício ou germânio. II. Gordon Earle Moore profetizou que a quantidade de transistores que poderiam ser colocados em uma mesma área dobraria a cada 18 meses, mantendo-se o mesmo custo de fabricação, e esta profecia ficou conhecida como Lei de Moore. III. Uma das formas de tornar os computadores mais rápidos é adicionar transistores ao processador. No entanto, um dos desafios associados é que mais calor é dissipado, e por esta razão é preciso pensar em estratégias para resfriar a CPU. Está(ão) CORRETA(S):</t>
  </si>
  <si>
    <t xml:space="preserve">I.</t>
  </si>
  <si>
    <t xml:space="preserve">II.</t>
  </si>
  <si>
    <t xml:space="preserve">I, II.</t>
  </si>
  <si>
    <t xml:space="preserve">I, III.</t>
  </si>
  <si>
    <t xml:space="preserve">Memórias (RAM, ROM, CACHE, HD, etc.)</t>
  </si>
  <si>
    <t xml:space="preserve">memorias-ram-rom-cache-hd-etc</t>
  </si>
  <si>
    <t xml:space="preserve">Considerando os fundamentos de hardware e os componentes internos de um computador, assinale a opção CORRETA:</t>
  </si>
  <si>
    <t xml:space="preserve">A memória cache possui maior capacidade que a memória RAM e é utilizada para armazenamento permanente de dados frequentemente acessados pelo processador.</t>
  </si>
  <si>
    <t xml:space="preserve">A memória ROM é volátil e armazena temporariamente dados utilizados durante a execução de programas, sendo apagada ao desligar o computador.</t>
  </si>
  <si>
    <t xml:space="preserve">O SSD, por não possuir partes mecânicas, apresenta menor velocidade de leitura e escrita em comparação ao HD, porém maior durabilidade.</t>
  </si>
  <si>
    <t xml:space="preserve">A memória cache é uma memória de alta velocidade localizada próxima à CPU, utilizada para armazenar dados frequentemente acessados, reduzindo o tempo de acesso à memória principal.</t>
  </si>
  <si>
    <t xml:space="preserve">informatica, memorias-ram-rom-cache-hd-etc</t>
  </si>
  <si>
    <t xml:space="preserve">Pref Ibiara</t>
  </si>
  <si>
    <t xml:space="preserve">Concurso Pref Ibiara 2025</t>
  </si>
  <si>
    <t xml:space="preserve">Dentre os dispositivos abaixo qual deles é considerado um dispositivo de armazenamento secundário:</t>
  </si>
  <si>
    <t xml:space="preserve">Registradores.</t>
  </si>
  <si>
    <t xml:space="preserve">Cache L1.</t>
  </si>
  <si>
    <t xml:space="preserve">Disco rígido (HD).</t>
  </si>
  <si>
    <t xml:space="preserve">ULA (Unidade Lógica e Aritmética).</t>
  </si>
  <si>
    <t xml:space="preserve">Em um sistema computacional, a performance e a eficiência são diretamente influenciadas pela forma como os componentes internos interagem. A memória RAM, por exemplo, é crucial para o armazenamento temporário de dados ativos, permitindo que a Unidade Central de Processamento (CPU) tenha acesso rápido às informações necessárias. No entanto, para otimizar ainda mais a velocidade, a memória cache entra em cena, atuando como uma área de armazenamento ultrarrápido entre a CPU e a RAM. A respeito dessa hierarquia de memória e a importância da interação entre os componentes, assinale a afirmativa que descreve CORRETAMENTE a função da memória cache em relação à memória RAM e ao processador (CPU):</t>
  </si>
  <si>
    <t xml:space="preserve">A memória RAM é a memória mais rápida do sistema, atuando como um intermediário entre a memória cache e o processador para armazenar dados de uso frequente.</t>
  </si>
  <si>
    <t xml:space="preserve">O processador (CPU) interage diretamente com as unidades de armazenamento (HD/SSD) e a memória RAM, sem utilizar a memória cache, que é um componente secundário e opcional.</t>
  </si>
  <si>
    <t xml:space="preserve">A memória cache armazena informações permanentemente, mesmo com o computador desligado, enquanto a memória RAM é volátil e armazena dados de forma temporária.</t>
  </si>
  <si>
    <t xml:space="preserve">A memória cache é uma memória volátil de alta velocidade, localizada próxima à CPU, que armazena uma cópia dos dados e instruções que a CPU provavelmente acessará a seguir, sendo mais rápida que a memória RAM.</t>
  </si>
  <si>
    <t xml:space="preserve">As memórias de computador são componentes essenciais para o funcionamento de qualquer sistema computacional. Elas têm a função de armazenar dados e instruções, seja de forma temporária ou permanente. Analise as afirmações abaixo sobre alguns dos tipos de memórias: I. A memória RAM é volátil e perde os dados quando o computador é desligado. II. A memória ROM é usada para armazenar instruções básicas de inicialização do sistema, como o BIOS. III. A memória cache é externa ao processador e tem velocidade inferior à da RAM. Está(ão) CORRETA(S):</t>
  </si>
  <si>
    <t xml:space="preserve">. Apenas I.</t>
  </si>
  <si>
    <t xml:space="preserve">Apenas I e II.</t>
  </si>
  <si>
    <t xml:space="preserve">Apenas I e III.</t>
  </si>
  <si>
    <t xml:space="preserve">I, II e III</t>
  </si>
  <si>
    <t xml:space="preserve">A Informática é a ciência que estuda o tratamento da informação por meio de recursos computacionais. Seus fundamentos envolvem o entendimento dos componentes físicos, como processador, memória e dispositivos de entrada e saída, e dos programas, que permitem a execução de tarefas e o controle do sistema. A respeito dos fundamentos da informática, assinale CORRETAMENTE:</t>
  </si>
  <si>
    <t xml:space="preserve">O disco rígido tem a função de interpretar as instruções para depois executar os programas armazenados na memória principal do computador.</t>
  </si>
  <si>
    <t xml:space="preserve">Bits e bytes são as unidades base para medir o armazenamento de dados, onde 1 byte equivale a 8 bits, e 1 megabyte equivale a 3024 quilobytes.</t>
  </si>
  <si>
    <t xml:space="preserve">O blu-ray foi desenvolvido para armazenamento de alta densidades para suportar vídeo e áudio de alta definição.</t>
  </si>
  <si>
    <t xml:space="preserve">A memória cache é um tipo de memória de acesso permanente e mais lenta que armazena os dados mais utilizados pelo processador.</t>
  </si>
  <si>
    <t xml:space="preserve">A memória RAM é caracterizada por:</t>
  </si>
  <si>
    <t xml:space="preserve">Ser uma memória não volátil que mantém dados mesmo sem energia.</t>
  </si>
  <si>
    <t xml:space="preserve">Armazenar o sistema operacional de forma permanente.</t>
  </si>
  <si>
    <t xml:space="preserve">Ser volátil, perdendo seu conteúdo quando desligado o computador.</t>
  </si>
  <si>
    <t xml:space="preserve">Ser usada exclusivamente para armazenamento de documentos do usuário.</t>
  </si>
  <si>
    <t xml:space="preserve">CM Cajazeiras</t>
  </si>
  <si>
    <t xml:space="preserve">Concurso CM Cajazeiras 2023</t>
  </si>
  <si>
    <t xml:space="preserve">Também conhecido como CPU (Central Processing Unit), o processador é um componente vital em um computador. Ele é responsável por executar as instruções do sistema operacional e dos programas, processando todas as informações que passam pelo sistema. Sem o processador, um computador seria incapaz de executar qualquer tipo de tarefa, desde abrir um documento de texto até executar jogos ou aplicativos mais complexos. Analise as seguintes afirmações sobre processadores. I. A Unidade de Controle é responsável por buscar as instruções que serão executadas na memória principal, interpretá-las e controlar a execução do programa. II. Um processador com frequência de clock de 1 GHz realiza 1 milhão de ciclos de clock por segundo. III. CPUs acessam informações mais rapidamente na memória cache do que se elas estivessem na memória principal ou nos registradores. Está(ão) CORRETA(S):</t>
  </si>
  <si>
    <t xml:space="preserve">I, apenas.</t>
  </si>
  <si>
    <t xml:space="preserve">I e II, apenas.</t>
  </si>
  <si>
    <t xml:space="preserve">II e III, apenas.</t>
  </si>
  <si>
    <t xml:space="preserve">Pref Várzea (PB)</t>
  </si>
  <si>
    <t xml:space="preserve">Concurso Pref Várzea (PB) 2022</t>
  </si>
  <si>
    <t xml:space="preserve">Analise a imagem e assinale a alternativa CORRETA:</t>
  </si>
  <si>
    <t xml:space="preserve">É uma Unidade Central de Processamento.</t>
  </si>
  <si>
    <t xml:space="preserve">É uma Placa Mãe.</t>
  </si>
  <si>
    <t xml:space="preserve">É uma Memória RAM.</t>
  </si>
  <si>
    <t xml:space="preserve">É uma Placa de Rede.</t>
  </si>
  <si>
    <t xml:space="preserve">É uma Fonte de Alimentação</t>
  </si>
  <si>
    <t xml:space="preserve">https://seusite-questoes-prod.s3.sa-east-1.amazonaws.com/questions/attachments/EDUCAPB/gerais/483.png</t>
  </si>
  <si>
    <t xml:space="preserve">Pref Passagem</t>
  </si>
  <si>
    <t xml:space="preserve">Concurso Pref Passagem 2020</t>
  </si>
  <si>
    <t xml:space="preserve">No computador, é um espaço no disco rígido usado para armazenar temporariamente dados na memória RAM, chaveando-os quando necessário. O conceito refere-se à um(a): Assinale a alternativa CORRETA:</t>
  </si>
  <si>
    <t xml:space="preserve">Cache.</t>
  </si>
  <si>
    <t xml:space="preserve">Memória virtual.</t>
  </si>
  <si>
    <t xml:space="preserve">Drive óptico.</t>
  </si>
  <si>
    <t xml:space="preserve">Sobre os componentes de um computador, o Disco rígido é: Assinale a alternativa CORRETA:</t>
  </si>
  <si>
    <t xml:space="preserve">Um depósito permanente e de grande capacidade, que guarda informações como programas e documentos.</t>
  </si>
  <si>
    <t xml:space="preserve">Um software básico que permite ao usuário interfacear com o computador.</t>
  </si>
  <si>
    <t xml:space="preserve">É uma conexão rápida usada pela placa gráfica para fazer a interface com o computador.</t>
  </si>
  <si>
    <t xml:space="preserve">É uma área de armazenamento dos dados frequentemente usados em memória RAM, extremamente rápida, conectada diretamente à CPU.</t>
  </si>
  <si>
    <t xml:space="preserve">É um tipo permanente de armazenamento de memória usado pelo computador para dados importantes que não mudam.</t>
  </si>
  <si>
    <t xml:space="preserve">Para armazenar dados e executar programas, os computadores dispõem de um recurso fundamental: a memória. Sobre os diferentes tipos de memórias, analise as sentenças a seguir: I. HD e SSD são memórias primárias e RAM é um tipo de memória secundária. II. Memórias ROM ( ReadOnlyMemory) têm seu conteúdo escrito na fábrica, e não é possível alterar este conteúdo. III. IMemória CACHE é dividida em níveis e é sempre mais veloz do que a memória RAM. IV. HDs são memórias voláteis mas SSDs são memórias não voláteis. Está(ão) CORRETA(S):</t>
  </si>
  <si>
    <t xml:space="preserve">I, II e III.</t>
  </si>
  <si>
    <t xml:space="preserve">II e III.</t>
  </si>
  <si>
    <t xml:space="preserve">II, III e IV.</t>
  </si>
  <si>
    <t xml:space="preserve">III.</t>
  </si>
  <si>
    <t xml:space="preserve">Barramentos, Placa-mãe e BIOS</t>
  </si>
  <si>
    <t xml:space="preserve">barramentos-placa-mae-e-bios</t>
  </si>
  <si>
    <t xml:space="preserve">A placa-mãe (motherboard) possui qual função principal:</t>
  </si>
  <si>
    <t xml:space="preserve">Armazenar programas e arquivos do sistema.</t>
  </si>
  <si>
    <t xml:space="preserve">Conectar e permitir a comunicação entre todos os componentes do computador.</t>
  </si>
  <si>
    <t xml:space="preserve">Fornecer energia elétrica aos periféricos externos.</t>
  </si>
  <si>
    <t xml:space="preserve">Exibir informações para o usuário.</t>
  </si>
  <si>
    <t xml:space="preserve">informatica, barramentos-placa-mae-e-bios</t>
  </si>
  <si>
    <t xml:space="preserve">Várias atividades do cotidiano podem ser simplificadas e executadas mais rapidamente com o auxílio de computadores. Para realizar tais atividades, o usuário deve enviar informações para a máquina através de dispositivos de entrada. Alguns dispositivos de entrada possuem interfaces de conexão diferentes. Com relação aos conectores e dispositivos, assinale a alternativa INCORRETA:</t>
  </si>
  <si>
    <t xml:space="preserve">A conexão RJ 45 permite a conexão do computador a uma rede de computadores.</t>
  </si>
  <si>
    <t xml:space="preserve">PS2 é uma interface que serve para conectar mouse e teclado.</t>
  </si>
  <si>
    <t xml:space="preserve">Na entrada USB podem ser conectados mouse, teclados, webcam, e impressora.</t>
  </si>
  <si>
    <t xml:space="preserve">VGA, DVI, e HDMI, são diferentes interfaces que permitem conectar dispositivos de saída de vídeo como monitor e projetor.</t>
  </si>
  <si>
    <t xml:space="preserve">A interface P2 permite conectar dispositivos de áudio e mesas digitalizadoras.</t>
  </si>
  <si>
    <t xml:space="preserve">Pref S Francisco PB</t>
  </si>
  <si>
    <t xml:space="preserve">Concurso Pref S Francisco PB 2020</t>
  </si>
  <si>
    <t xml:space="preserve">Hardware é um termo em inglês que não tem uma tradução específica, deriva da palavra hard em inglês, que significa duro. É usado para definir todos os componentes físicos (mecânicos, magnéticos e eletrônicos) de um computador, ou seja, a máquina propriamente dita. A numeração apresentada na imagem indica os componentes do computador, assinale a sequência CORRETA de acordo com os nomes dos itens que nomeiam cada ponto: A sequência CORRETA é:</t>
  </si>
  <si>
    <t xml:space="preserve">(2) Processador, (3) Placa-mãe, (4) memória RAM e (5) placas de expansão.</t>
  </si>
  <si>
    <t xml:space="preserve">(2) Placa-mãe - (3) processador, (4) memória RAM e (5) placas de expansão.</t>
  </si>
  <si>
    <t xml:space="preserve">(2) Memória RAM, (3) Placa-mãe, (4) processador, e (5) placas de expansão.</t>
  </si>
  <si>
    <t xml:space="preserve">(2) Placas de expansão, (3) Placa-mãe, (4) processador e (5) memória RAM.</t>
  </si>
  <si>
    <t xml:space="preserve">(2) Placa-mãe, (3) memória RAM, (4) processador e (5) placas de expansão.</t>
  </si>
  <si>
    <t xml:space="preserve">https://seusite-questoes-prod.s3.sa-east-1.amazonaws.com/questions/attachments/EDUCAPB/gerais/489.png</t>
  </si>
  <si>
    <t xml:space="preserve">Concurso Pref Várzea (PB) 2019</t>
  </si>
  <si>
    <t xml:space="preserve">Permite a interligação física e lógica entre processador, memória RAM, placa de vídeo, HD (SSD também), drives ópticos e etc. Ele(a) tem tanto controladores que são responsáveis pela comunicação de diversos dispositivos quanto slot’s onde encaixar fisicamente cada dispositivo. O conceito está relacionado a(o):</t>
  </si>
  <si>
    <t xml:space="preserve">Memória RAM</t>
  </si>
  <si>
    <t xml:space="preserve">Concurso Pref S Francisco PB 2019</t>
  </si>
  <si>
    <t xml:space="preserve">Qual o sistema básico de entrada e saída, que é o primeiro programa a ser executado quando o computador é ligado. Ele reconhece os componentes de hardware instalados, verifica se todos estão funcionando e passa o comando do computador ao sistema operacional, provendo a este informaçõessobre o hardware da máquina. Assinale a alternativa CORRETA:</t>
  </si>
  <si>
    <t xml:space="preserve">Memória ROM.</t>
  </si>
  <si>
    <t xml:space="preserve">BIOS.</t>
  </si>
  <si>
    <t xml:space="preserve">Periféricos (Dispositivos de Entrada e Saída)</t>
  </si>
  <si>
    <t xml:space="preserve">perifericos-dispositivos-de-entrada-e-saida</t>
  </si>
  <si>
    <t xml:space="preserve">Em relação aos periféricos de um computador, assinale a opção CORRETA:</t>
  </si>
  <si>
    <t xml:space="preserve">O scanner é classificado como dispositivo de saída, pois converte informações digitais em imagens físicas.</t>
  </si>
  <si>
    <t xml:space="preserve">O monitor e a impressora são dispositivos de entrada e saída, pois permitem interação bidirecional com o usuário.</t>
  </si>
  <si>
    <t xml:space="preserve">O teclado e o mouse são dispositivos de entrada, pois permitem a inserção de dados no sistema computacional.</t>
  </si>
  <si>
    <t xml:space="preserve">Os dispositivos de armazenamento externo, como pendrives e HDs externos, são exclusivamente dispositivos de saída, pois apenas fornecem dados ao computador.</t>
  </si>
  <si>
    <t xml:space="preserve">informatica, perifericos-dispositivos-de-entrada-e-saida</t>
  </si>
  <si>
    <t xml:space="preserve">Durante a montagem de um laboratório de informática, um técnico precisou selecionar dispositivos que funcionassem tanto como entrada quanto como saída de dados. Dentre as opções abaixo, assinale CORRETAMENTE o dispositivo que exerce essa dupla função:</t>
  </si>
  <si>
    <t xml:space="preserve">Teclado.</t>
  </si>
  <si>
    <t xml:space="preserve">Impressora a jato de tinta.</t>
  </si>
  <si>
    <t xml:space="preserve">Monitor LED convencional.</t>
  </si>
  <si>
    <t xml:space="preserve">Tela sensível ao toque (Touchscreen).</t>
  </si>
  <si>
    <t xml:space="preserve">Scanner.</t>
  </si>
  <si>
    <t xml:space="preserve">São considerados periféricos de entrada, EXCETO:</t>
  </si>
  <si>
    <t xml:space="preserve">Mouse.</t>
  </si>
  <si>
    <t xml:space="preserve">Microfone.</t>
  </si>
  <si>
    <t xml:space="preserve">Monitor.</t>
  </si>
  <si>
    <t xml:space="preserve">Pref Alhandra</t>
  </si>
  <si>
    <t xml:space="preserve">Concurso Pref Alhandra 2024</t>
  </si>
  <si>
    <t xml:space="preserve">VGA e HDMI são dois tipos de interfaces usadas para transmitir vídeo e, em alguns casos, áudio entre dispositivos, como monitores, projetores e computadores. Analise as seguintes afirmativas sobre tais componentes/tecnologias de hardware. I. A qualidade do sinal pode degradar significativamente em cabos longos, especialmente a resoluções mais altas. II. Só transmite sinal de vídeo, sendo necessário utilizar um cabo separado para transmitir áudio. III. Suporta resoluções que podem chegar a 4K e 8K. Analise as afirmações apresentadas e marque a alternativa que RELACIONA CORRETAMENTE as afirmações e tipos de interface de transmissão de vídeo.</t>
  </si>
  <si>
    <t xml:space="preserve">I - HDMI, II - HDMI, III - HDMI</t>
  </si>
  <si>
    <t xml:space="preserve">I - VGA, II - HDMI, III - HDMI</t>
  </si>
  <si>
    <t xml:space="preserve">I - VGA, II - VGA, III - HDMI</t>
  </si>
  <si>
    <t xml:space="preserve">I - VGA, II - VGA, III - VGA</t>
  </si>
  <si>
    <t xml:space="preserve">I - HDMI, II - VGA, III - HDMI</t>
  </si>
  <si>
    <t xml:space="preserve">Que Tecla é utilizada para fazer operações especiais e na maioria de sua utilização se resume a atalhos:</t>
  </si>
  <si>
    <t xml:space="preserve">Shift.</t>
  </si>
  <si>
    <t xml:space="preserve">Ctrl.</t>
  </si>
  <si>
    <t xml:space="preserve">Alt.</t>
  </si>
  <si>
    <t xml:space="preserve">Esc.</t>
  </si>
  <si>
    <t xml:space="preserve">Enter.</t>
  </si>
  <si>
    <t xml:space="preserve">Os componentes físicos de um computador, tipicamente representados por partes mecânicas, eletrônicas e magnéticas, são chamados de hardware. Um computador é composto por processador, memória e dispositivos periféricos que podem ser categorizados com relação ao fluxo de dados entre o computador e o meio externo: somente entrada (E), somente saída (S), ou simultaneamente entrada e saída (E/S). Os dispositivos de mesa digitalizadora, monitor de vídeo com tela sensível ao toque, e webcam são categorizados RESPECTIVAMENTE como:</t>
  </si>
  <si>
    <t xml:space="preserve">E/S, E/S, E</t>
  </si>
  <si>
    <t xml:space="preserve">E, S, E/S</t>
  </si>
  <si>
    <t xml:space="preserve">E/S, S, E/S</t>
  </si>
  <si>
    <t xml:space="preserve">E, E/S, E/S</t>
  </si>
  <si>
    <t xml:space="preserve">E, E/S, E</t>
  </si>
  <si>
    <t xml:space="preserve">São dispositivos que permitem que uma mídia óptica, como CD, DVD ou Blue Ray possa ser lida e reproduzida no computador. Alguns permitem ainda a gravação de mídias. Assinale a alternativa CORRETA:</t>
  </si>
  <si>
    <t xml:space="preserve">Cooler.</t>
  </si>
  <si>
    <t xml:space="preserve">Um monitor de vídeo de computador é um dispositivo cuja função é transmitir informação ao usuário através de imagens. Sobre os diferentes tipos de monitores e diferentes características, assinale a alternativa INCORRETA.</t>
  </si>
  <si>
    <t xml:space="preserve">Um monitor com taxa de atualização de 60 Hz consegue exibir 60 imagens diferentes em 1 segundo.</t>
  </si>
  <si>
    <t xml:space="preserve">CRT, LCD, PDP e LED são diferentes tecnologias para formação das imagens exibidas no monitor.</t>
  </si>
  <si>
    <t xml:space="preserve">Um monitor FULL HD possui 1920 x 1080 pixels.</t>
  </si>
  <si>
    <t xml:space="preserve">Um monitor com resolução 4K, também chamado monitor UHD, possui o dobro de pixels de um monitor FULL HD.</t>
  </si>
  <si>
    <t xml:space="preserve">Existem monitores que são apenas dispositivos de saída, mas também existem monitores touchscreen que são considerados dispositivos de entrada e saída.</t>
  </si>
  <si>
    <t xml:space="preserve">Sobre os Componentes do PC, analise as funções indicadas na figura abaixo e assinale a alternativa CORRETA:</t>
  </si>
  <si>
    <t xml:space="preserve">De Leitor (gravador) de Disquete e CD-ROM.</t>
  </si>
  <si>
    <t xml:space="preserve">Da Visão interna de um PC.</t>
  </si>
  <si>
    <t xml:space="preserve">De Disco Rígido (HD).</t>
  </si>
  <si>
    <t xml:space="preserve">De Modem (Modulador Demodulador).</t>
  </si>
  <si>
    <t xml:space="preserve">De Conectores e Cabos.</t>
  </si>
  <si>
    <t xml:space="preserve">https://seusite-questoes-prod.s3.sa-east-1.amazonaws.com/questions/attachments/EDUCAPB/gerais/500.png</t>
  </si>
  <si>
    <t xml:space="preserve">Os dispositivos também chamados de periféricos, permitem a comunicação entre o processador e os demais componentes do computador, assim como entre o computador e o meio externo (entre o computador e seus usuários ou entre o computador e outros computadores). Sobre exemplos de periféricos, analise os itens abaixo. I. Mouse. II. Memória. III. Microfone. IV. Webcam V. Monitor. VI. Impressora. VII. Caixa de Som. Estão CORRETAS as alterntivas:</t>
  </si>
  <si>
    <t xml:space="preserve">I, II, III, IV, V, VI e VII.</t>
  </si>
  <si>
    <t xml:space="preserve">I, II, III, IV, V, e VII.</t>
  </si>
  <si>
    <t xml:space="preserve">I, III, IV, V, VI e VII, apenas.</t>
  </si>
  <si>
    <t xml:space="preserve">I, II, III, IV e V , apenas.</t>
  </si>
  <si>
    <t xml:space="preserve">III, IV, V, VI e VII , apenas.</t>
  </si>
  <si>
    <t xml:space="preserve">Questões Mescladas de Hardware</t>
  </si>
  <si>
    <t xml:space="preserve">questoes-mescladas-de-hardware</t>
  </si>
  <si>
    <t xml:space="preserve">Os computadores modernos são compostos por diversos componentes internos que atuam de forma integrada para garantir o processamento, armazenamento e fornecimento de energia ao sistema. O correto funcionamento depende da interação entre processador, memórias, dispositivos de armazenamento e demais elementos estruturais. Considerando esses componentes, assinale a opção CORRETA:</t>
  </si>
  <si>
    <t xml:space="preserve">A memória RAM é não volátil e responsável por armazenar permanentemente os dados do sistema, mesmo após o desligamento do computador.</t>
  </si>
  <si>
    <t xml:space="preserve">A placa-mãe é responsável por interligar os componentes do computador, permitindo a comunicação entre CPU, memória e dispositivos de armazenamento.</t>
  </si>
  <si>
    <t xml:space="preserve">O SSD utiliza partes mecânicas para leitura e gravação de dados, o que o torna mais lento que o HD.</t>
  </si>
  <si>
    <t xml:space="preserve">A memória cache é uma memória de baixa velocidade e grande capacidade, utilizada para armazenamento secundário de dados.</t>
  </si>
  <si>
    <t xml:space="preserve">informatica, questoes-mescladas-de-hardware</t>
  </si>
  <si>
    <t xml:space="preserve">“Hardware é todo componente físico, interno ou externo do seu computador, ou celular, que determina do que um dispositivo é capaz e como você pode usá-lo. Embora dependa de um software para funcionar (e vice-versa), o hardware é um elemento a parte e igualmente importante.” Sobre os hardware, analise os itens: I. Monitor, teclado, mouse, controle remoto, microfone, câmera de vídeo, impressora, projetor, scanner, alto-falantes são exemplos de Hardware internos. II. O hardware interno é todo aquele que não fica visivel e que compõem os segmentos internos do computador. III. Placa-mãe, memória RAM, placa de vídeo, coolers e ventoinhas, cabos internos, fonte, HD, SSD. São exemplos de hardware externos. Está(ão) CORRETO(S):</t>
  </si>
  <si>
    <t xml:space="preserve">Sobre os componentes básicos do hardware e as suas características, assinale a alternativa INCORRETA:</t>
  </si>
  <si>
    <t xml:space="preserve">A CPU, Central Processing Unit, armazena temporariamente os dados que estão sendo processados pela CPU.</t>
  </si>
  <si>
    <t xml:space="preserve">A Placa Mãe, também conhecida como Motherboard, é o componente principal do computador, onde todos os outros componentes são conectados.</t>
  </si>
  <si>
    <t xml:space="preserve">Fonte de Alimentação é responsável por fornecer a energia elétrica necessária para todos os componentes do computador.</t>
  </si>
  <si>
    <t xml:space="preserve">A Placa de Vídeo garante a renderização de imagens, vídeos e gráficos.</t>
  </si>
  <si>
    <t xml:space="preserve">A Memória RAM fornece espaço temporário para os dados que estão sendo processados, garantindo que o processador tenha acesso rápido aos dados.</t>
  </si>
  <si>
    <t xml:space="preserve">Em relação à organização e arquitetura dos computadores, analise as afirmações a seguir e assinale a alternativa CORRETA:</t>
  </si>
  <si>
    <t xml:space="preserve">A memória RAMé um tipo de memória permanente utilizada para armazenar arquivos do sistema mesmo quando o computador está desligado.</t>
  </si>
  <si>
    <t xml:space="preserve">A CPU é composta exclusivamente pela Unidade Lógica e Aritmética (ULA), responsável por controlar todos os periféricos conectados ao computador.</t>
  </si>
  <si>
    <t xml:space="preserve">Os dispositivos como mouse, teclado e scanner são exemplos de periféricos de saída, pois enviam informações para o usuário.</t>
  </si>
  <si>
    <t xml:space="preserve">O barramento de dados é responsável por transportar os sinais de controle, como leitura e escrita, entre os componentes do sistema.</t>
  </si>
  <si>
    <t xml:space="preserve">A Unidade de Controle, presente na CPU, é responsável por coordenar a execução das instruções, controlando o fluxo de dados entre os diversos componentes do computador.</t>
  </si>
  <si>
    <t xml:space="preserve">João trabalha com edição de vídeos e percebeu que seu computador tem apresentado lentidão ao executar programas mais pesados, como editores de vídeo e gráficos em alta resolução. Ele procurou um técnico, que indicou algumas atualizações de hardware para melhorar o desempenho da máquina. Sobre a relação do componente de hardware com sua função e possível impacto no desempenho do computador, analise as alternativas e assinale a CORRETA:</t>
  </si>
  <si>
    <t xml:space="preserve">A substituição do monitor por um modelo maior aumentará diretamente a capacidade de processamento gráfico, otimizando a velocidade dos programas de edição.</t>
  </si>
  <si>
    <t xml:space="preserve">Substituir a fonte de alimentação por uma mais potente tornará o processador automaticamente mais rápido, mesmo sem alterações nos demais componentes.</t>
  </si>
  <si>
    <t xml:space="preserve">A instalação de um teclado mecânico permitirá maior desempenho nos processamentos de vídeo por conta da resposta rápida das teclas.</t>
  </si>
  <si>
    <t xml:space="preserve">O aumento da memória RAM é irrelevante nesse caso, pois esse tipo de componente só influencia no armazenamento permanente dos arquivos.</t>
  </si>
  <si>
    <t xml:space="preserve">A troca do HD por um SSD pode melhorar significativamente o tempo de inicialização do sistema e a abertura de arquivos e programas.</t>
  </si>
  <si>
    <t xml:space="preserve">Hardware é a denominação dos componentes físicos de um computador, podendo ser dividido em vários tipos. Sobre os tipos de hardware e suas características, assinale CORRETAMENTE:</t>
  </si>
  <si>
    <t xml:space="preserve">Gabarito: anulada.</t>
  </si>
  <si>
    <t xml:space="preserve">A placa-mãe, parte central de um computador, faz parte dos hardwares externos.</t>
  </si>
  <si>
    <t xml:space="preserve">A fonte de energia, que tem como função alimentar a placa-mãe com voltagem necessária para o seu funcionamento se caracteriza como hardware de armazenamento.</t>
  </si>
  <si>
    <t xml:space="preserve">O HD e SSD fazem parte dos hardwares de entrada.</t>
  </si>
  <si>
    <t xml:space="preserve">A impressora pertence aos hardwares de armazenamento.</t>
  </si>
  <si>
    <t xml:space="preserve">ROM é a abreviação de Read Only Memory. E se caracteriza como hardware interno.</t>
  </si>
  <si>
    <t xml:space="preserve">As tecnologias USB 2.0 e USB 3.0 são padrões diferentes de comunicação e transferência de dados entre dispositivos. Analise as seguintes afirmativas sobre tais componentes/tecnologias de hardware. I. Tanto o USB 2.0 como o USB 3.0 funcionam em modo full-duplex, permitindo que os dados sejam transferidos em ambas as direções simultaneamente (enviar e receber ao mesmo tempo). II. O USB 3.0 oferece uma taxa de transferência superior em comparação com o USB 2.0. III. O conector USB tipo C é sempre utilizado com o padrão USB 3.0. Está(ão) CORRETA(S):</t>
  </si>
  <si>
    <t xml:space="preserve">Memórias e discos são componentes fundamentais para o funcionamento de um computador, desempenhando papéis distintos, mas complementares no processamento e armazenamento de dados. Analise as seguintes afirmativas sobre tais componentes/tecnologias de hardware. I. RAID é uma tecnologia que combina múltiplos discos rígidos em uma única unidade lógica para melhorar o desempenho, a segurança dos dados ou ambos. II. A memória ROM é um tipo de memória não volátil que armazena permanentemente dados essenciais, como o firmware de um dispositivo, que não podem ser alterados ou apagados durante o uso normal. III. Algumas diferenças entre memórias RAM DDR3 e DDR4 incluem a velocidade eficiência energética. A DDR4 tipicamente oferece frequências mais altas do que a DDR3, mas tipicamente consume mais energia do que a DDR3. Está(ão) CORRETA(S):</t>
  </si>
  <si>
    <t xml:space="preserve">II, III, apenas.</t>
  </si>
  <si>
    <t xml:space="preserve">Concurso Pref Cabedelo 2024</t>
  </si>
  <si>
    <t xml:space="preserve">Os avanços na tecnologia de hardware têm desempenhado um papel fundamental na evolução dos dispositivos eletrônicos, desde computadores pessoais até dispositivos móveis e sistemas embarcados. Componentes essenciais, como a Unidade Central de Processamento (CPU) e a Unidade de Processamento Gráfico (GPU), têm sido alvo de constante inovação, impulsionando a capacidade de processamento, a eficiência energética e a qualidade gráfica dos dispositivos. Analise as seguintes afirmações sobre o funcionamento de CPUs, GPUs, e componentes associados. I. A GPU é usada frequentemente para acelerar o processamento de aplicações de Computação de Alto Desempenho (HPC, abreviação do inglês High Performance Computing). II. Processadores com velocidade de clock de 2 GHz são capazes de executar 2 milhões de ciclos por segundo. III. A memória cache pode ser dividida em níveis. Os níveis mais altos (e.g., nível 2) são mais próximos da CPU e, portanto, são acessados mais rapidamente do que os níveis mais baixos (e.g., nível 1). Está(ão) CORRETO(S):</t>
  </si>
  <si>
    <t xml:space="preserve">Pref Imaculada</t>
  </si>
  <si>
    <t xml:space="preserve">Concurso Pref Imaculada 2023</t>
  </si>
  <si>
    <t xml:space="preserve">Ao projetar um supercomputador para simulações climáticas de alta complexidade, qual combinação de componentes abaixo resultaria no melhor desempenho e eficácia das simulações:</t>
  </si>
  <si>
    <t xml:space="preserve">Processadores de baixa potência e memória RAM de alta velocidade.</t>
  </si>
  <si>
    <t xml:space="preserve">Unidades de armazenamento SSD em RAID 0 e placas de vídeo de última geração.</t>
  </si>
  <si>
    <t xml:space="preserve">Processadores com múltiplos núcleos, GPUs especializadas em cálculos científicos e alta capacidade de memória RAM.</t>
  </si>
  <si>
    <t xml:space="preserve">Monitores de alta resolução e teclados de transmissão avançados.</t>
  </si>
  <si>
    <t xml:space="preserve">Fontes de alimentação redundantes e armazenamento por HDD.</t>
  </si>
  <si>
    <t xml:space="preserve">Ao montar um computador, é essencial entender os diferentes componentes e suas funções para garantir um sistema funcional e eficiente. Considere a seguinte situação: um usuário deseja construir um computador voltado para edição de vídeo de alta definição. Qual dos seguintes componentes desempenha o papel mais crítico nesse cenário:</t>
  </si>
  <si>
    <t xml:space="preserve">Teclado multimídia.</t>
  </si>
  <si>
    <t xml:space="preserve">Memória RAM de alta capacidade.</t>
  </si>
  <si>
    <t xml:space="preserve">Monitor de resolução 720p.</t>
  </si>
  <si>
    <t xml:space="preserve">Unidade de processamento gráfico avançada.</t>
  </si>
  <si>
    <t xml:space="preserve">Webcam.</t>
  </si>
  <si>
    <t xml:space="preserve">O equipamento está disposto sobre a área central da placa-mãe do computador, responsável por controlar e manter a temperatura dentro dos padrões operacionais requeridos. O equipamento refere-se à(o):</t>
  </si>
  <si>
    <t xml:space="preserve">HD.</t>
  </si>
  <si>
    <t xml:space="preserve">Fonte de Alimentação.</t>
  </si>
  <si>
    <t xml:space="preserve">https://seusite-questoes-prod.s3.sa-east-1.amazonaws.com/questions/attachments/EDUCAPB/gerais/513.png</t>
  </si>
  <si>
    <t xml:space="preserve">Conceitos Gerais de Sistemas Operacionais e Sistemas de Arquivos</t>
  </si>
  <si>
    <t xml:space="preserve">conceitos-gerais-de-sistemas-operacionais-e-sistemas-de-arquivos</t>
  </si>
  <si>
    <t xml:space="preserve">Um sistema operacional moderno precisa gerenciar eficientemente múltiplos processos, memória e acesso a arquivos, garantindo desempenho e isolamento entre aplicações. Nesse contexto, analise os itens a seguir: I. O escalonamento de processos é responsável por definiar a ordem de execução dos processos na CPU, podendo impactar diretamente o desempenho e a responsividade do sistema. II. A memória virtual permite que o sistema operacional utilize parte do disco rígido como extensão da memória RAM, possibilitando a execução de programas que excedem a capacidade física disponível. III. O sistema de arquivos é responsável exclusivamente pelo armazenamento físico dos dados no disco, não estando relacionado a permissões ou organização lógica. IV. A interface do sistema operacional limita-se à interface gráfica (GUI), sendo a linha de comando (CLI) um recurso externo e independente do sistema operacional. Assinale a opção CORRETA:</t>
  </si>
  <si>
    <t xml:space="preserve">Apenas I e II estão corretas.</t>
  </si>
  <si>
    <t xml:space="preserve">Apenas I, II e III estão corretas.</t>
  </si>
  <si>
    <t xml:space="preserve">Apenas II, III e IV estão corretas.</t>
  </si>
  <si>
    <t xml:space="preserve">Apenas I, III e IV estão corretas.</t>
  </si>
  <si>
    <t xml:space="preserve">informatica, conceitos-gerais-de-sistemas-operacionais-e-sistemas-de-arquivos</t>
  </si>
  <si>
    <t xml:space="preserve">Os sistemas computacionais modernos são compostos por diferentes tipos de softwares, cada um com funções específicas, como controle de hardware, execução de tarefas do usuário e suporte ao funcionamento do sistema. Considerando essa classificação, assinale a opção CORRETA:</t>
  </si>
  <si>
    <t xml:space="preserve">Drivers são softwares utilizados exclusivamente para edição de textos e navegação na internet.</t>
  </si>
  <si>
    <t xml:space="preserve">Softwares utilitários têm como função principal o gerenciamento direto do hardware do computador.</t>
  </si>
  <si>
    <t xml:space="preserve">Sistemas operacionais gerenciam os recursos do hardware e permitem a execução de aplicativos.</t>
  </si>
  <si>
    <t xml:space="preserve">Softwares aplicativos são responsáveis pela comunicação entre o sistema operacional e os dispositivos físicos.</t>
  </si>
  <si>
    <t xml:space="preserve">Considere as afirmações abaixo a respeito dos sistemas operacionais, seus sistemas de arquivos e as permissões de segurança aplicadas a arquivos e diretórios: I. O sistema de arquivos NTFS, utilizado por padrão em sistemas Windows modernos, permite o controle de acesso baseado em permissões, suporte à criptografia, compactação e controle de cotas de armazenamento. II. Em sistemas Unix/Linux, os arquivos podem ter permissões distintas atribuídas ao dono do arquivo, ao grupo associado e a outros usuários, podendo ser configuradas por comandos como “chmod” e “chown”. III. Softwares classificados como livres obrigatoriamente devem ser gratuitos e, por isso, não podem ser comercializados, mesmo com alterações no código-fonte. IV. Um software utilitário é um tipo de software aplicativo que atua diretamente sobre o sistema, realizando tarefas de suporte como backup, desfragmentação ou varredura de segurança. V. O sistema operacional é um software do tipo aplicativocuja função principal é permitir que o usuário interaja diretamente com os aplicativos instalados, sem realizar gerenciamento de hardware. Assinale a alternativa CORRETA:</t>
  </si>
  <si>
    <t xml:space="preserve">Apenas as afirmativas I, II e IV estão corretas.</t>
  </si>
  <si>
    <t xml:space="preserve">Apenas as afirmativas I, III e V estão corretas.</t>
  </si>
  <si>
    <t xml:space="preserve">Apenas as afirmativas II e V estão corretas.</t>
  </si>
  <si>
    <t xml:space="preserve">Apenas as afirmativas II, IV e V estão corretas.</t>
  </si>
  <si>
    <t xml:space="preserve">Todas as afirmativas estão corretas.</t>
  </si>
  <si>
    <t xml:space="preserve">A respeito dos softwares e dos sistemas operacionais, analise as afirmativas e assinale a CORRETA:</t>
  </si>
  <si>
    <t xml:space="preserve">Um software utilitário é aquele destinado apenas à navegação na internet e à edição de textos e planilhas.</t>
  </si>
  <si>
    <t xml:space="preserve">O sistema de arquivos tem como função principal organizar e exibir as opções do menu iniciar em sistemas operacionais gráficos.</t>
  </si>
  <si>
    <t xml:space="preserve">Softwares livres não podem ser modificados ou redistribuídos, mesmo que seu código-fonte esteja disponível publicamente.</t>
  </si>
  <si>
    <t xml:space="preserve">O sistema operacional é um exemplo de software básico, pois gerencia recursos do sistema, como memória, arquivos e dispositivos.</t>
  </si>
  <si>
    <t xml:space="preserve">A operação de excluir um arquivo em qualquer sistema operacional remove imediatamente o conteúdo do disco rígido, tornando impossível sua recuperação.</t>
  </si>
  <si>
    <t xml:space="preserve">O sistema operacional é o software central de um computador, responsável por gerenciar os recursos do hardware e fornecer uma interface entre o usuário e a máquina. Ele atua como intermediário, permitindo que programas e dispositivos funcionem de maneira organizada e eficiente. Acerca das características do sistema operacional e suas finalidades, assinale a alternativa INCORRETA:</t>
  </si>
  <si>
    <t xml:space="preserve">Um sistema operacional tem o objetivo de simplificar a interação com o computador, servindo como base de acesso para todos os softwares.</t>
  </si>
  <si>
    <t xml:space="preserve">Na gestão de arquivos, o sistema supervisiona o uso dos recursos, registra eventos e oferece ferramentas para identificar gargalos de desempenho ou diagnosticar problemas de funcionamento.</t>
  </si>
  <si>
    <t xml:space="preserve">No gerenciamento de hardware, o kernel do sistema operacional assume o controle direto dos dispositivos após ser carregado. Ele gerencia a CPU, a memória, os dispositivos de armazenamento e os periféricos, garantindo que o hardware execute os processos de forma eficiente e organizada.</t>
  </si>
  <si>
    <t xml:space="preserve">O sistema operacional oferece mecanismos que permitem ao usuário interagir com o computador, seja por meio de interfaces gráficas, com janelas, ícones e menus, ou por linhas de comando, traduzindo as ações do usuário em comandos compreendidos pelo sistema.</t>
  </si>
  <si>
    <t xml:space="preserve">Sobre os sistemas de arquivos FAT32, NTFS, ext4 e HFS+, analise as afirmativas a seguir: I. O FAT32 é amplamente utilizado em dispositivos removíveis, mas possui limitação no tamanho máximo de arquivo. II. O NTFS é o sistema padrão do Windows, suportando recursos avançados como permissões e criptografia. III. O ext4 é um sistema usado principalmente em macOS. IV. O HFS+ é o sistema de arquivos utilizado em dispositivos Apple. Assinale a alternativa CORRETA:</t>
  </si>
  <si>
    <t xml:space="preserve">Apenas as afirmativas I e II estão corretas.</t>
  </si>
  <si>
    <t xml:space="preserve">Apenas as afirmativas II e III estão corretas.</t>
  </si>
  <si>
    <t xml:space="preserve">Apenas as afirmativas I, III e IV estão corretas.</t>
  </si>
  <si>
    <t xml:space="preserve">“Um sistema operacional é o software fundamental que permite que um computador funcione corretamente. Ele atua como uma interface entre o hardware do computador e o usuário, gerenciando recursos, executando programas e garantindo a comunicação entre os componentes do sistema. Sem um sistema operacional, um computador seria incapaz de realizar tarefas básicas e executar programas.” Sobre os diferentes tipos de sistemas operacionais, analise as alternativas e assinale a CORRETA:</t>
  </si>
  <si>
    <t xml:space="preserve">Sistemas Operacionais de Computadores Pessoais são sistemas operacionais projetados para dispositivos embarcados, como sistemas de automação residencial, dispositivos médicos e eletrônicos. Exemplos incluem FreeRTOS e VxWorks.</t>
  </si>
  <si>
    <t xml:space="preserve">Sistemas Operacionais de Servidores são sistemas operacionais otimizados para gerenciar servidores e redes de computadores. Exemplos incluem Windows Server, Linux Server e Unix.</t>
  </si>
  <si>
    <t xml:space="preserve">Sistemas Operacionais de Dispositivos Móveis são os sistemas operacionais mais comuns, como Windows, macOS e Linux.</t>
  </si>
  <si>
    <t xml:space="preserve">Sistemas Operacionais de Tempo Real são sistemas operacionais otimizados para gerenciar servidores e redes de computadores, projetados para dispositivos embarcados, como sistemas de automação residencial, dispositivos médicos e eletrônicos. Exemplos incluem FreeRTOS e VxWorks.</t>
  </si>
  <si>
    <t xml:space="preserve">Sistemas Operacionais Embarcados São sistemas operacionais desenvolvidos para smartphones e tablets. Os mais populares são Android e iOS, que oferecem uma experiência móvel intuitiva e eficiente.</t>
  </si>
  <si>
    <t xml:space="preserve">A empresa deseja implantar um sistema corporativo crítico que exige alto desempenho e confiabilidade. Durante a análise, o responsável pelo TI destacou a necessidade de que múltiplos processos fossem executados simultaneamente, com gerenciamento eficiente de memória e acesso coordenado a dispositivos de entrada/saída, garantindo que nenhuma aplicação monopolize recursos e que falhas de um programa não comprometam o sistema inteiro. Nesse contexto, assinale CORRETAMENTE acerca dos componentes ou mecanismos do computador que é fundamental para atender a esses requisitos:</t>
  </si>
  <si>
    <t xml:space="preserve">A Unidade Lógica e Aritmética (ULA), pois é responsável por executar cálculos e determinar a ordem de execução de programas de forma independente do sistema operacional.</t>
  </si>
  <si>
    <t xml:space="preserve">O kernel do sistema operacional, pois gerencia processos, memória e dispositivos de E/S, garantindo isolamento, multitarefa e acesso controlado aos recursos.</t>
  </si>
  <si>
    <t xml:space="preserve">O cachê do processador, pois armazena permanentemente todos os dados de todos os programas, garantindo que falhas de software não afetem o sistema.</t>
  </si>
  <si>
    <t xml:space="preserve">O barramento de dados, pois é capaz de executar instruções de programas e realizar cálculos aritméticos sem intervenção da CPU.</t>
  </si>
  <si>
    <t xml:space="preserve">Os softwares podem ser classificados de acordo com sua função e nível de interação com o hardware e o usuário. Um tipo específico de software atua como interface entre os programas de aplicação e os recursos físicos da máquina, sendo responsável por gerenciar processos, memória, dispositivos de entrada e saída, e sistemas de arquivos, além de fornecer um ambiente estável para a execução de aplicações. Com base na descrição, assinale a alternativa que representa CORRETAMENTE o tipo de software:</t>
  </si>
  <si>
    <t xml:space="preserve">SOFTWARE APLICATIVO - utilizado diretamente pelo usuário para tarefas específicas, como editores de texto ou navegadores.</t>
  </si>
  <si>
    <t xml:space="preserve">SOFTWARE UTILITÁRIO - voltado à manutenção e análise do sistema, como antivírus e ferramentas de backup.</t>
  </si>
  <si>
    <t xml:space="preserve">SOFTWARE DE DESENVOLVIMENTO - destinado à criação de outros softwares, como compiladores e ambientes de programação.</t>
  </si>
  <si>
    <t xml:space="preserve">SOFTWARE DE SISTEMA - que gerencia os recursos computacionais e fornece suporte à execução dos demais programas.</t>
  </si>
  <si>
    <t xml:space="preserve">MIDDLEWARE - utilizado para facilitar a comunicação entre softwares em ambientes distribuídos.</t>
  </si>
  <si>
    <t xml:space="preserve">O sistema operacional é responsável por diversas funções essenciais que permitem o uso eficiente do computador. Entre suas atribuições estão o gerenciamento de processos, o gerenciamento de memória, o gerenciamento de arquivos e a interface com o usuário. Considerando essas funções, assinale a alternativa CORRETA:</t>
  </si>
  <si>
    <t xml:space="preserve">O gerenciamento de processos é responsável apenas por armazenar permanentemente os programas e dados no disco rígido.</t>
  </si>
  <si>
    <t xml:space="preserve">O gerenciamento de memória controla o uso da CPU pelos programas em execução, decidindo qual processo será executado em cada instante.</t>
  </si>
  <si>
    <t xml:space="preserve">O gerenciamento de arquivos organiza, controla e permite o acesso aos dados armazenados em dispositivos, além de criar, excluir, mover e renomear arquivos e pastas.</t>
  </si>
  <si>
    <t xml:space="preserve">A interface com o usuário é a parte do sistema operacional que gerencia diretamente os registradores da CPU e o barramento de dados.</t>
  </si>
  <si>
    <t xml:space="preserve">É o sistema de arquivos padrão usado pelos sistemas operacionais baseados no Windows NT. Ele oferece recursos avançados, como permissões de arquivos, criptografia, compactação e journaling. O Sistema suporta grandes tamanhos de arquivo e partição, tornando-o adequado para dispositivos de armazenamento modernos. No entanto, ele tem compatibilidade limitada com sistemas operacionais que não são do Windows. O Sistema de Arquivos que o texto faz referência é:</t>
  </si>
  <si>
    <t xml:space="preserve">NTFS (Sistema de Arquivos de Nova Tecnologia).</t>
  </si>
  <si>
    <t xml:space="preserve">EXFAT (Tabela de alocação de arquivos estendida)</t>
  </si>
  <si>
    <t xml:space="preserve">APFS (Sistema de Arquivos da Apple).</t>
  </si>
  <si>
    <t xml:space="preserve">HFS, HFS+ (Sistema de Arquivos Hierárquico).</t>
  </si>
  <si>
    <t xml:space="preserve">Ext4 (Quarto Sistema de Arquivo Estendido).</t>
  </si>
  <si>
    <t xml:space="preserve">Os sistemas de arquivos desempenham um papel fundamental no gerenciamento e organização de dados em sistemas de armazenamento. Eles determinam como os dados são estruturados, acessados e armazenados em dispositivos de armazenamento, como discos rígidos e unidades flash. Avalie as afirmações a seguir sobre diferentes sistemas de arquivos e assinale a opção que indica (V) para VERDADEIRAS e (F) para FALSAS: ( ) O sistema de arquivos FAT32 oferece suporte a tamanhos de arquivo com até 8 gigabytes. ( ) O NTFS (New Technology File System) é o sistema de arquivos padrão do Linux, enquanto o ext4 é o sistema de arquivos padrão do Windows. ( ) O sistema de arquivos NTFS é compatível com permissões de acesso avançadas, como criptografia de arquivos e pastas. A sequência CORRETA é:</t>
  </si>
  <si>
    <t xml:space="preserve">V, V, V.</t>
  </si>
  <si>
    <t xml:space="preserve">F, V, F.</t>
  </si>
  <si>
    <t xml:space="preserve">F, F, V.</t>
  </si>
  <si>
    <t xml:space="preserve">V, V, F.</t>
  </si>
  <si>
    <t xml:space="preserve">V, F, F.</t>
  </si>
  <si>
    <t xml:space="preserve">Os sistemas operacionais desempenham um papel fundamental na gestão eficiente dos recursos de hardware de um computador, permitindo que os usuários executem aplicativos e realizem tarefas de forma organizada e intuitiva. No que concerne a plataforma de execução, sistemas operacionais podem ser executados em arquiteturas de 32 ou 64 bits. Com relação a sistemas operacionais e suas plataformas de execução, analise as afirmações a seguir. I. É possível instalar um sistema operacional de 64 bits em uma arquitetura de 32 bits desde que esteja em modo de compatibilidade. II. Sistemas operacionais de 64 bits têm uma capacidade de endereçamento de memória maior do que sistemas de 32 bits. III. Sistemas operacionais Linux só são disponibilizados para arquiteturas de 32 bits. Está(ão) CORRETA(S):</t>
  </si>
  <si>
    <t xml:space="preserve">I, II, apenas</t>
  </si>
  <si>
    <t xml:space="preserve">II, III, apenas</t>
  </si>
  <si>
    <t xml:space="preserve">Sobre os tipos de software de programação, assinale a alternativa INCORRETA:</t>
  </si>
  <si>
    <t xml:space="preserve">Editores de texto são usados para criar e gerenciar arquivos digitais compostos por texto. Eles cumprem a função de ler o arquivo e interpretar os bytes, de acordo com o código do editor.</t>
  </si>
  <si>
    <t xml:space="preserve">Compilador é um tipo de tradutor que constrói a linguagem de programação para um programa em si.</t>
  </si>
  <si>
    <t xml:space="preserve">Intérprete é um programa que analisa e transforma informações sobre outros programas.</t>
  </si>
  <si>
    <t xml:space="preserve">Vinculador pega os objetos iniciais do processo de compilação, descarta os desnecessários e vincula um código aberto à biblioteca interna, produzindo um arquivo executável.</t>
  </si>
  <si>
    <t xml:space="preserve">Depuradores são programas usados para identificar a ortografia incorreta no texto.</t>
  </si>
  <si>
    <t xml:space="preserve">O sistema Operacional é o “elo de ligação” entre a máquina e os Programas/periféricos/Usuário cujas funções principais são: Assinale a alternativa INCORRETA:</t>
  </si>
  <si>
    <t xml:space="preserve">Lê e interpreta entradas do teclado; envia dados a um disco, impressora ou outro dispositivo de saída (impressora).</t>
  </si>
  <si>
    <t xml:space="preserve">Manter compiladores, editores e outros programas do sistema em locais de memória distintos.</t>
  </si>
  <si>
    <t xml:space="preserve">Executar tarefas básicas de um sistema.</t>
  </si>
  <si>
    <t xml:space="preserve">Trabalhar a informação gerada durante a operação do computador, processando cada função acionada.</t>
  </si>
  <si>
    <t xml:space="preserve">Copiar, mover, renomear, etc.,gerencia programas; gerencia a memória.</t>
  </si>
  <si>
    <t xml:space="preserve">Para mover o mouse, deslize-o sobre uma superfície plana na direção que você deseja ir e o ponteiro simplesmente se moverá na mesma direção e sentido. Sobre a ação e o significado na função do mouse, analise os itens a seguir: AÇÃO                                                  SIGNIFICADO I. Clique       Pressione e solte o botão do mouse rapidamente. Um clique pode ser feito com o botão direito ou esquerdo II. Clique Duplo Pressione e solte o botão do mouse duas vezes rapidamente III. Arrastar   Pressione o botão do mouse enquanto se movimenta IV. Apontar     Deslize o mouse até que seu ponteiro esteja sobre o item escolhido. Estão CORRETAS:</t>
  </si>
  <si>
    <t xml:space="preserve">I, III, IV, apenas.</t>
  </si>
  <si>
    <t xml:space="preserve">II, III, IV, apenas.</t>
  </si>
  <si>
    <t xml:space="preserve">I, II, III, apenas.</t>
  </si>
  <si>
    <t xml:space="preserve">III, IV, apenas.</t>
  </si>
  <si>
    <t xml:space="preserve">I, II, III, IV.</t>
  </si>
  <si>
    <t xml:space="preserve">https://seusite-questoes-prod.s3.sa-east-1.amazonaws.com/questions/attachments/EDUCAPB/gerais/529.png</t>
  </si>
  <si>
    <t xml:space="preserve">O software é desenvolvido para atender as necessidades específicas dos usuários e assim determinar o sistema operacional ideal para cada usuário. Sobre os tipos de software de sistema, assinale nos parênteses, de acordo com a numeração de 1 a 5, a seguir: (1) Carregador de inicialização. (2) Sistemas operacionais. (3) Controladores. (4) Ferramentas de diagnóstico. (5) Servidores. ( ) Programas que permitem ao sistema operacional realizar interações entre o hardware e a interface do usuário para usar o dispositivo. ( ) Parte do sistema operacional que cumpre a função de enviar informações para a memória, com a finalidade de executar programas. ( ) São usadas para monitorar e controlar a funcionalidade dos recursos físicos do dispositivo. ( ) Ferramentas de execução usadas para receber as instruções do usuário e executar uma ação de acordo. ( ) Sistema que gerencia os recursos de hardware e oferece a possibilidade de lançar aplicativos para o usuário. A sequência CORRETA é:</t>
  </si>
  <si>
    <t xml:space="preserve">2 - 1 - 4 - 5 - 3.</t>
  </si>
  <si>
    <t xml:space="preserve">3 - 1 - 4 - 5 - 2.</t>
  </si>
  <si>
    <t xml:space="preserve">3 - 2 - 4 - 5 - 1.</t>
  </si>
  <si>
    <t xml:space="preserve">4 - 1 - 3 - 5 - 2.</t>
  </si>
  <si>
    <t xml:space="preserve">1 - 3 - 4 - 5 - 2.</t>
  </si>
  <si>
    <t xml:space="preserve">É o navegador presente nos CELULARES e TABLETS que levam o sistema operacional. Como existem muitos aparelhos com este SO, sua participação é bastante significativa no mercado. O navegador a que se refere o texto é:</t>
  </si>
  <si>
    <t xml:space="preserve">Safari.</t>
  </si>
  <si>
    <t xml:space="preserve">Internet Explorer.</t>
  </si>
  <si>
    <t xml:space="preserve">Microsoft Edge.</t>
  </si>
  <si>
    <t xml:space="preserve">Mozilla Firefox.</t>
  </si>
  <si>
    <t xml:space="preserve">Android browser.</t>
  </si>
  <si>
    <t xml:space="preserve">Windows 7</t>
  </si>
  <si>
    <t xml:space="preserve">windows-7</t>
  </si>
  <si>
    <t xml:space="preserve">O sistema operacional Microsoft Windows 7, amplamente utilizado em ambientes corporativos e domésticos antes da chegada de versões mais recentes, introduziu melhorias significativas em comparação com o Windows Vista, tanto em desempenho quanto em usabilidade. Entre suas características estão a barra de tarefas redesenhada, o recurso Jump List, a introdução do HomeGroup e a melhoria do UAC (Controle de Conta de Usuário). Sobre as características do Windows 7 descrita no texto, analise as informações e assinale a alternativa INCORRETA:</t>
  </si>
  <si>
    <t xml:space="preserve">O recurso "Jump List" permite acesso rápido a arquivos ou tarefas recentes diretamente a partir do botão da aplicação fixada na barra de tarefas.</t>
  </si>
  <si>
    <t xml:space="preserve">O "HomeGroup" foi criado para simplificar o compartilhamento de arquivos e impressoras em redes domésticas.</t>
  </si>
  <si>
    <t xml:space="preserve">A Central de Ações (Action Center) oferece uma visão consolidada de alertas de segurança e manutenção do sistema.</t>
  </si>
  <si>
    <t xml:space="preserve">O Windows 7 eliminou completamente o UAC (Controle de Conta de Usuário), que existia no Windows Vista, por ser considerado invasivo.</t>
  </si>
  <si>
    <t xml:space="preserve">A nova barra de tarefas permite a fixação de programas e mostra miniaturas das janelas abertas.</t>
  </si>
  <si>
    <t xml:space="preserve">informatica, windows-7</t>
  </si>
  <si>
    <t xml:space="preserve">Sobre o Windows 7 e os seus principais componentes, analise os itens abaixo: I. Localizada na parte inferior da tela, a Área de Trabalho, reúne informações importantes sobre o status do computador, como alertas de segurança, configurações e atualizações. II. Exibindo as janelas abertas no formato de ícones, a barra de tarefas permite trocas rápidas entre os aplicativos. III. A Central de Rede e Compartilhamento permite configurar redes, conexões à internet e o compartilhamento de arquivos e impressoras com outros dispositivos na mesma rede. Assinale a alternativa que se afirma INCORRETAMENTE:</t>
  </si>
  <si>
    <t xml:space="preserve">O item I está errado.</t>
  </si>
  <si>
    <t xml:space="preserve">O item II está certo e o item I está errado.</t>
  </si>
  <si>
    <t xml:space="preserve">O item III está correto.</t>
  </si>
  <si>
    <t xml:space="preserve">O item I está correto.</t>
  </si>
  <si>
    <t xml:space="preserve">Os itens II e III estão corretos.</t>
  </si>
  <si>
    <t xml:space="preserve">O Windows 7 possui funcionalidades e atalhos úteis que ajudam a executar tarefas com mais eficiência bem como monitorar o funcionamento apropriado do sistema. Nesse sentido, analise as seguintes afirmações. I. No Windows Explorer, para criar uma nova pasta, basta pressionar Ctrl + Shift + P. II. No Gerenciador de Tarefas é possível visualizar os aplicativos em execução bem como o consumo de CPU e memória de cada aplicativo. III. O atalho para abrir o Gerenciador de Tarefas do Windows 7 é Alt + Shift + Esc. Está(ão) CORRETO(S):</t>
  </si>
  <si>
    <t xml:space="preserve">A respeito das funções do Sistema Operacional Windows 7, analise os itens a seguir: I. O sistema operacional Windows 7 é a plataforma essencial para desenvolvedores. Ouvindo nossos clientes, olhando para os cenários de amanhã e aproveitando os recursos do Windows Vista, a Microsoft oferece aos desenvolvedores uma ampla variedade de opções e recursos dentro da plataforma de desenvolvedor do Windows, ao mesmo tempo em que capacita os desenvolvedores a fornecer soluções criativas que reconhecem dispositivos móveis, conectam, são de alta fidelidade e fornecem uma experiência de usuário altamente intuitiva. II. O Windows 7 oferece uma plataforma de desenvolvimento sólida e ferramentas inovadoras que oferecem mais opções, maior compatibilidade de aplicativos, melhor desempenho e suporte sofisticado a documentos. Isso resulta em um ambiente mais simples e confiável para seus aplicativos e um ambiente conhecido e intuitivo para seus usuários. III. O Windows 7 permite que os desenvolvedores criem aplicativos hoje que serão executados nos PCs de amanhã. Software e dispositivos habilitados para serviços, como telefones celulares, reprodutores de mídia portáteis e câmeras digitais, exigem conectividade constante e aplicativos avançados. IV. Com o Windows 7, é fácil se conectar e permanecer conectado. A rede do Windows oferece aos desenvolvedores opções para melhor armazenamento em cache e compartilhamento de dados para melhorar o desempenho da rede. Estão CORRETOS:</t>
  </si>
  <si>
    <t xml:space="preserve">I, II, IV, apenas.</t>
  </si>
  <si>
    <t xml:space="preserve">II, IV, apenas.</t>
  </si>
  <si>
    <t xml:space="preserve">Sobre o Sistema Windows, relacione os itens e as respectivas funções: 1. Barra de Tarefa. 2. Ícones. 3. Área de Trabalho. 4. Windows Explorer. 5. Active Desktop. ( )Quando o recurso está ativado, o conteúdo da Web é exibido ou pode ser adicionado à sua área de trabalho. Quando você clica com o botão direito do mouse em um espaço em branco na área de trabalho e, em seguida, aponta para o dispositivo, outras opções de menu também são disponibilizadas, permitindo-lhe personalizar e atualizar itens da área de trabalho. ( )Após iniciar o Windows, a primeira coisa com que nós nos deparamos, também conhecida como desktop, a área na tela em que você trabalha. ( )São figuras associadas a um arquivo (programa ou dado). No windows você pode chamar um programa ou mesmo abrir um arquivo apenas acionando esse dispositivo. ( )Contém todas as informações sobre os programas que estão sendo executados, e principalmente o botão Iniciar. Esse botão dá acesso aos programas instalados no seu computador. ( ) Permite o gerenciamento de seus arquivos de uma forma simples e rápida. Para abrir clique em Iniciar, aponte para Programas em seguida, aponte para acessórios, e por fim clique nele. Assinale a alternativa conforme a sequência CORRETA:</t>
  </si>
  <si>
    <t xml:space="preserve">4, 3, 2, 1, 5.</t>
  </si>
  <si>
    <t xml:space="preserve">5, 4, 2, 1, 3.</t>
  </si>
  <si>
    <t xml:space="preserve">5, 3, 2, 1, 4.</t>
  </si>
  <si>
    <t xml:space="preserve">3, 5, 4, 1, 2.</t>
  </si>
  <si>
    <t xml:space="preserve">1, 2, 3, 4, 5.</t>
  </si>
  <si>
    <t xml:space="preserve">O Sistema Operacional Windows 7 contém atalhos que podem aumentar a produtividade de seus usuários. Analise as seguintes informações sobre os atalhos do Windows 7. Considere WIN como forma abreviada para se referir à tecla WINDOWS (tecla com logotipo do Windows). I. WIN+M: minimiza todas as janelas. II. WIN+X: inicia o caixa de diálogo Executar, que permite executar um arquivo ou programa. III. WIN+B: bloqueia o computador. Está(ão) CORRETA(S):</t>
  </si>
  <si>
    <t xml:space="preserve">Pref C dos Índios</t>
  </si>
  <si>
    <t xml:space="preserve">Concurso Pref C dos Índios 2020</t>
  </si>
  <si>
    <t xml:space="preserve">O botão Iniciar é o principal elemento da Barra de Tarefas. Ele dá acesso ao Menu Iniciar, de onde se podem acessar outros menus que, por sua vez, acionam programas do Windows. Ao ser acionado, o botão Iniciar mostra um menu vertical com várias opções. Alguns comandos do menu Iniciar têm uma seta para a direita, significando que há opções adicionais disponíveis em um menu secundário. São algumas opções que poderão estar no botão Iniciar: I. Lupa. II. Visualizador XPS. III. Calculadora. IV. Conexão de Área de Trabalho Remota. Estão CORRETAS:</t>
  </si>
  <si>
    <t xml:space="preserve">Sobre os atalhos do Sistema Operacional Windows 7, analise as seguintes afirmações e selecione a alternativa INCORRETA.</t>
  </si>
  <si>
    <t xml:space="preserve">F2: renomea o item selecionado.</t>
  </si>
  <si>
    <t xml:space="preserve">Tecla do logotipo do Windows + L: bloqueia a tela do computador.</t>
  </si>
  <si>
    <t xml:space="preserve">Tecla do logotipo do Windows + D: exclui o item selecionado e o move para a Lixeira.</t>
  </si>
  <si>
    <t xml:space="preserve">F5: atualiza a janela ativa.</t>
  </si>
  <si>
    <t xml:space="preserve">Ctrl + R: atualiza a janela ativa.</t>
  </si>
  <si>
    <t xml:space="preserve">Bibliotecas foram criadas para facilitar o gerenciamento de arquivos e pastas. São um local virtual que agregam conteúdo de múltiplos locais em um só. Estão divididas nas categorias: Assinale a alternativa INCORRETA:</t>
  </si>
  <si>
    <t xml:space="preserve">Documentos.</t>
  </si>
  <si>
    <t xml:space="preserve">Imagens.</t>
  </si>
  <si>
    <t xml:space="preserve">Músicas.</t>
  </si>
  <si>
    <t xml:space="preserve">Vídeos.</t>
  </si>
  <si>
    <t xml:space="preserve">Rede.</t>
  </si>
  <si>
    <t xml:space="preserve">É o principal elemento da Barra de Tarefas. Ele dá acesso a outros menus que, por sua vez, acionam programas do Windows. Ao ser acionado, mostra um menu com várias opções. Alguns comandos do menu têm uma seta para a direita, significando que há opções adicionais disponíveis em um menu secundário. Se você posicionar o ponteiro sobre um item com uma seta, será exibido outro menu. O texto refere-se ao:</t>
  </si>
  <si>
    <t xml:space="preserve">Menu iniciar.</t>
  </si>
  <si>
    <t xml:space="preserve">Menu salvar.</t>
  </si>
  <si>
    <t xml:space="preserve">Menu abrir.</t>
  </si>
  <si>
    <t xml:space="preserve">Menu fechar.</t>
  </si>
  <si>
    <t xml:space="preserve">Menu exportar.</t>
  </si>
  <si>
    <t xml:space="preserve">De acordo com a figura abaixo, a seta no canto inferior esquerdo representa o(a):</t>
  </si>
  <si>
    <t xml:space="preserve">Diretório.</t>
  </si>
  <si>
    <t xml:space="preserve">Arquivo.</t>
  </si>
  <si>
    <t xml:space="preserve">Atalho.</t>
  </si>
  <si>
    <t xml:space="preserve">Desktop.</t>
  </si>
  <si>
    <t xml:space="preserve">Área de transferência</t>
  </si>
  <si>
    <t xml:space="preserve">As Bibliotecas foram criadas para facilitar o gerenciamento de arquivos e pastas. São um local virtual que agregam conteúdo de múltiplos locais em um só e estão divididas incialmente em categorias: Assinale a alternativa INCORRETA:</t>
  </si>
  <si>
    <t xml:space="preserve">Filtros.</t>
  </si>
  <si>
    <t xml:space="preserve">Central de tarefas em que são oferecidos recursos que facilitam o uso do Windows, tais como Backup de arquivos, personalizar o Windows, conexão à internet, entre outros. O conceito refere-se à:</t>
  </si>
  <si>
    <t xml:space="preserve">Notas Autoadesivas.</t>
  </si>
  <si>
    <t xml:space="preserve">Ponto de Partida.</t>
  </si>
  <si>
    <t xml:space="preserve">Conectar a um Projetor.</t>
  </si>
  <si>
    <t xml:space="preserve">Conexão de Área de Trabalho Remota.</t>
  </si>
  <si>
    <t xml:space="preserve">Visualizador XPS.</t>
  </si>
  <si>
    <t xml:space="preserve">É a área de exibição quando você liga o computador e faz o logon do Windows. Quando você abre programas ou pastas, eles são exibidos sobre a área de trabalho, Nela também é possível colocar itens, como arquivos e pastas, e organiza-los como quiser. A tela inicial do Windows é composta de: I. Menu iniciar II. Barra de tarefas III. Área de notificação IV. Ícones, pastas e atalhos V. Papel de parede ou plano de fundo. Estão CORRETAS as alternativas:</t>
  </si>
  <si>
    <t xml:space="preserve">I, II, III e V, apenas.</t>
  </si>
  <si>
    <t xml:space="preserve">I, II, III e IV, apenas.</t>
  </si>
  <si>
    <t xml:space="preserve">I, II, e V, apenas.</t>
  </si>
  <si>
    <t xml:space="preserve">I, III e V, apenas.</t>
  </si>
  <si>
    <t xml:space="preserve">I, II, III, IV, V.</t>
  </si>
  <si>
    <t xml:space="preserve">Windows 10</t>
  </si>
  <si>
    <t xml:space="preserve">windows-10</t>
  </si>
  <si>
    <t xml:space="preserve">Sobre os atalhos do Windows 10, assinale a alternativa INCORRETA:</t>
  </si>
  <si>
    <t xml:space="preserve">Winkey + X abre o navegador padrão de Internet.</t>
  </si>
  <si>
    <t xml:space="preserve">Winkey + D abre a área de trabalho.</t>
  </si>
  <si>
    <t xml:space="preserve">Winkey + E abre o Windows Explorer.</t>
  </si>
  <si>
    <t xml:space="preserve">Winkey + L bloqueia a máquina.</t>
  </si>
  <si>
    <t xml:space="preserve">Winkey + R abre aplicação que permite executar comandos.</t>
  </si>
  <si>
    <t xml:space="preserve">informatica, windows-10</t>
  </si>
  <si>
    <t xml:space="preserve">O desfragmentador de disco é uma ferramenta presente no Windows 7 e Windows 10 que permite analisar o status e desfragmentar unidades de disco rígido, tornando o computador mais rápido e eficiente. Sobre a fragmentação de disco, analise as seguintes afirmações: I. Em um disco fragmentado é comum que os arquivos sejam salvos em vários pedaços e locais do disco rígido. II. O sistema operacional leva mais tempo para ler um arquivo fragmentado, pois são necessárias várias leituras para localizar as partes do arquivo. III. O processo de localizar e consolidar arquivos fragmentados é chamado de desfragmentação. IV. No Windows, remoção e alteração de arquivos tendem a gerar fragmentação. V. O processo de desfragmentação é recomendado para HDDs (Hard Disk Drive). Estão CORRETAS:</t>
  </si>
  <si>
    <t xml:space="preserve">I e II</t>
  </si>
  <si>
    <t xml:space="preserve">II e III</t>
  </si>
  <si>
    <t xml:space="preserve">I, II, III e IV</t>
  </si>
  <si>
    <t xml:space="preserve">I, II, III, IV e V</t>
  </si>
  <si>
    <t xml:space="preserve">“Ao clicar neste botão, a janela ocupa a tela inteira do monitor. Com essa janela, este botão se transforma no botão Restaurar Tamanho”. O conceito refere-se ao: Assinale a alternativa CORRETA:</t>
  </si>
  <si>
    <t xml:space="preserve">Barra de Título.</t>
  </si>
  <si>
    <t xml:space="preserve">Barra de Menus.</t>
  </si>
  <si>
    <t xml:space="preserve">Botão Minimizar.</t>
  </si>
  <si>
    <t xml:space="preserve">Botão Maximizar.</t>
  </si>
  <si>
    <t xml:space="preserve">Barras de rolagem.</t>
  </si>
  <si>
    <t xml:space="preserve">Na utilização do Sistema Operacional Windows é possível que algum processo passe a consumir recursos de forma exagerada, seja intencionalmente ou não. Esta situação pode causar lentidão no processamento das demais aplicações. Uma forma de identificar esse problema é observar o consumo de CPU, Memória, Disco e Rede, dos processos, e procurar alguma anomalia. O atalho que abre o Gerenciador de Tarefas no Windows 10 é:</t>
  </si>
  <si>
    <t xml:space="preserve">CTRL+ DEL</t>
  </si>
  <si>
    <t xml:space="preserve">CTRL + ESC</t>
  </si>
  <si>
    <t xml:space="preserve">ALT + ESC</t>
  </si>
  <si>
    <t xml:space="preserve">CTRL + SHIFT + ESC</t>
  </si>
  <si>
    <t xml:space="preserve">CTRL + ALT + ESC</t>
  </si>
  <si>
    <t xml:space="preserve">Ao clicar neste botão, a janela ocupa a tela inteira do monitor. Nessa janela esse botão se transforma no Botão Restaurar. Assinale a alternativa CORRETA:</t>
  </si>
  <si>
    <t xml:space="preserve">Botão Fechar.</t>
  </si>
  <si>
    <t xml:space="preserve">Botão Restaurar.</t>
  </si>
  <si>
    <t xml:space="preserve">Botão Barra de Tarefas.</t>
  </si>
  <si>
    <t xml:space="preserve">Linux / Unix</t>
  </si>
  <si>
    <t xml:space="preserve">linux-unix</t>
  </si>
  <si>
    <t xml:space="preserve">O sistema de arquivos EXT (Extended File System) foi projetado especialmente para sistemas Linux. O EXT evoluiu em termos de capacidade máxima de volumes, capacidade máxima de arquivos, e integridade dos dados mediante eventual falha de energia. Analise a seguinte afirmação sobre o tamanho máximo de arquivos nas diferentes versões do EXT e marque a alternativa que preenche CORRETAMENTE as lacunas. “O sistema de arquivos EXT2, EXT3, e EXT4, suporta respectivamente arquivos com tamanho máximo de ____, ____, ____.” A alternativa CORRETA é:</t>
  </si>
  <si>
    <t xml:space="preserve">2GB, 3GB, 4GB</t>
  </si>
  <si>
    <t xml:space="preserve">64GB, 128GB, 256GB</t>
  </si>
  <si>
    <t xml:space="preserve">2TB, 3TB, 4TB</t>
  </si>
  <si>
    <t xml:space="preserve">64TB, 128TB, 256TB</t>
  </si>
  <si>
    <t xml:space="preserve">2TB, 2TB, 16TB</t>
  </si>
  <si>
    <t xml:space="preserve">informatica, linux-unix</t>
  </si>
  <si>
    <t xml:space="preserve">A respeito do Sistema Linux, assinale a alternativa INCORRETA:</t>
  </si>
  <si>
    <t xml:space="preserve">É um sistema operacional de código aberto. Isto significa que pode ser modificado e distribuído por qualquer pessoa ao redor do mundo. Uma das suas vantagens é que ele é de código aberto.</t>
  </si>
  <si>
    <t xml:space="preserve">Nos computadores domésticos, o Sistema apesar de ser gratuito é muito pouco utilizado, mas a maioria de servidores, nas empresas, usam porque é fácil de personalizar.</t>
  </si>
  <si>
    <t xml:space="preserve">É um sistema operacional desenvolvido pela Apple Inc. Ele vem instalado em todos os computadores Mac. Todas as versões recentes são conhecidas como Mac OS X e os nomes específicos de cada uma delas são: Mavericks, lançada em 2013; Mountain Lion, em 2012; Lion, em 2011 e Snow Leopard que foi criada em 2009.</t>
  </si>
  <si>
    <t xml:space="preserve">É um sistema operacional que as versões mais populares são: Ubuntu, Debian, Linux Mint e Fedora.</t>
  </si>
  <si>
    <t xml:space="preserve">É um sistema operacional que na sua estrutura, a interface gráfica do usuário de cada sistema operacional tem uma aparência diferente.</t>
  </si>
  <si>
    <t xml:space="preserve">Word 2010</t>
  </si>
  <si>
    <t xml:space="preserve">word-2010</t>
  </si>
  <si>
    <t xml:space="preserve">Os atalhos do Microsoft Word são ferramentas poderosas para aumentar a produtividade de quem trabalha frequentemente com o software. Eles permitem que tarefas comuns e repetitivas sejam realizadas de maneira mais rápida e eficiente, reduzindo o tempo necessário para formatar, editar ou navegar em documentos. Analise as seguintes informações sobre os atalhos do Word 2010. I. Ctrl + B: aplica negrito ao texto selecionado. II. Ctrl + F: permite buscar por texto no documento. III. Alt + Ctrl + D: permite inserir nota de fim no documento. Está(ão) CORRETA(S):</t>
  </si>
  <si>
    <t xml:space="preserve">informatica, word-2010</t>
  </si>
  <si>
    <t xml:space="preserve">Qual é a função do recurso "Estilos Rápidos" no Microsoft Word:</t>
  </si>
  <si>
    <t xml:space="preserve">Converter documentos em diferentes formatos.</t>
  </si>
  <si>
    <t xml:space="preserve">Mudar o estilo de escrita do texto de forma automática, simples, e rápida.</t>
  </si>
  <si>
    <t xml:space="preserve">Criar tabelas e gráficos dinâmicos de acordo com algum estilo pré-determinado.</t>
  </si>
  <si>
    <t xml:space="preserve">Definir configurações de página, como margens e orientação.</t>
  </si>
  <si>
    <t xml:space="preserve">Fornecer modelos pré-formatados para alterar a aparência do texto.</t>
  </si>
  <si>
    <t xml:space="preserve">Sobre os atalhos do programa Word (pacote Office 2010), analise as seguintes afirmações. I. Ctrl + S é um atalho para salvar o documento. II. Ctrl + K é um atalho para inserir um hiperlink. III. Ctrl + A é um atalho para abrir um documento. IV. Ctrl + B é um atalho para transformar o texto selecionado em negrito. V. Ctrl + O é um atalho para criar um novo documento. Estão CORRETAS:</t>
  </si>
  <si>
    <t xml:space="preserve">II, III, IV.</t>
  </si>
  <si>
    <t xml:space="preserve">II, III, V.</t>
  </si>
  <si>
    <t xml:space="preserve">Sobre a utilização do mouse no programa Word, do pacote Office 2010, analise as seguintes afirmações. I. O botão direito do mouse serve para selecionar alguma funcionalidade. II. O botão esquerdo do mouse serve para acionar menu rápido. III. Um clique com o botão esquerdo do mouse no texto posiciona o cursor. IV. Dois cliques com o botão esquerdo em uma palavra seleciona a palavra. V. Três cliques com o botão esquerdo em uma palavra seleciona o parágrafo que contém a palavra. VI. Quatro cliques com o botão esquerdo em uma palavra seleciona o texto da página que contém a palavra. Estão CORRETAS:</t>
  </si>
  <si>
    <t xml:space="preserve">I e II.</t>
  </si>
  <si>
    <t xml:space="preserve">III e IV.</t>
  </si>
  <si>
    <t xml:space="preserve">III, IV e V.</t>
  </si>
  <si>
    <t xml:space="preserve">III, IV, V e VI.</t>
  </si>
  <si>
    <t xml:space="preserve">I, II, III, IV, V e VI.</t>
  </si>
  <si>
    <t xml:space="preserve">Word 2013</t>
  </si>
  <si>
    <t xml:space="preserve">word-2013</t>
  </si>
  <si>
    <t xml:space="preserve">Analise a figura abaixo e assinale a alternativa que compõe os links: Margens, Orientação, Tamanho e Colunas:</t>
  </si>
  <si>
    <t xml:space="preserve">Pagina Inicial.</t>
  </si>
  <si>
    <t xml:space="preserve">Inserir.</t>
  </si>
  <si>
    <t xml:space="preserve">Layout de Página.</t>
  </si>
  <si>
    <t xml:space="preserve">Referências.</t>
  </si>
  <si>
    <t xml:space="preserve">informatica, word-2013</t>
  </si>
  <si>
    <t xml:space="preserve">https://seusite-questoes-prod.s3.sa-east-1.amazonaws.com/questions/attachments/EDUCAPB/gerais/557.png</t>
  </si>
  <si>
    <t xml:space="preserve">Word 2019</t>
  </si>
  <si>
    <t xml:space="preserve">word-2019</t>
  </si>
  <si>
    <t xml:space="preserve">O Word e o Excel são aplicações essenciais para criação e edição de documentos e planilhas. Tais aplicações possuem algumas funcionalidades comuns relacionadas à configuração de layout de página e revisão, mas também possuem funcionalidades específicas de cada aplicação, como a possibilidade de configurar fórmulas nas planilhas (Excel) e a possibilidade de configurar referências no documento (Word). Sobre as funcionalidades presentes no Word e Excel, analise as afirmações a seguir. I. A funcionalidade “Marcar como final” é usada para configurar um documento/planilha em modo de leitura. Uma vez que seja marcado como final, um documento/planilha não poderá mais ser editado sob qualquer circunstância. II. No Excel, a função CORRESP em sua forma vetorial procura um valor em um intervalo de uma linha ou coluna e retorna um valor da mesma posição em um segundo intervalo de uma linha ou coluna. III. No Microsoft Office Word, para adicionar uma nota de rodapé, selecione o trecho de texto desejado e pressione os botões ALT + CTRL + F. Está(ão) CORRETA(S):</t>
  </si>
  <si>
    <t xml:space="preserve">informatica, word-2019</t>
  </si>
  <si>
    <t xml:space="preserve">A funcionalidade de controle de revisões no Microsoft Word desempenha um papel essencial na melhoria da qualidade e na eficiência da colaboração no ambiente de trabalho moderno. O controle de revisões permite registrar todas as alterações feitas em um documento, juntamente com a identificação do revisor, e além disso as alterações feitas em um documento são destacadas e podem ser aceitas ou rejeitadas individualmente. Analise o texto abaixo sobre a ativação do controle de revisões no Microsoft Word. “Para ativar o controle de alterações, na guia            , no grupo       , clique em Controlar Alterações.” Assinale a alternativa que completa corretamente as lacunas do texto.</t>
  </si>
  <si>
    <t xml:space="preserve">“Revisão”, "Controle"</t>
  </si>
  <si>
    <t xml:space="preserve">“Revisão”, "Alterações"</t>
  </si>
  <si>
    <t xml:space="preserve">“Revisão”, "Rastreamento"</t>
  </si>
  <si>
    <t xml:space="preserve">“Página Inicial”, "Controle"</t>
  </si>
  <si>
    <t xml:space="preserve">“Página Inicial”, "Alterações"</t>
  </si>
  <si>
    <t xml:space="preserve">Excel 2010</t>
  </si>
  <si>
    <t xml:space="preserve">excel-2010</t>
  </si>
  <si>
    <t xml:space="preserve">As funções e expressões no Excel são ferramentas poderosas que permitem realizar cálculos, analisar dados, automatizar tarefas e melhorar a eficiência em uma ampla gama de atividades, desde simples planilhas de orçamento até análises de dados complexas. Analise as seguintes informações sobre as funções do Excel 2010. I. A função POS retorna o valor positivo de um número. II. A função ARRUMAR remove os espaços de uma cadeia de texto, com exceção dos espaços simples entre as palavras. III. A função TRUNCAR trunca um número para reduzir o número de casas decimais ao valor definido no segundo argumento. Está(ão) CORRETO(S):</t>
  </si>
  <si>
    <t xml:space="preserve">informatica, excel-2010</t>
  </si>
  <si>
    <t xml:space="preserve">O programa Excel, do pacote Office 2010, permite que as células computem o valor de expressões. Caso a expressão “=2^3+5*9/10” seja inserida em uma célula do Excel, o resultado exibido na planilha é:</t>
  </si>
  <si>
    <t xml:space="preserve">11.7</t>
  </si>
  <si>
    <t xml:space="preserve">5.3</t>
  </si>
  <si>
    <t xml:space="preserve">5.8</t>
  </si>
  <si>
    <t xml:space="preserve">10.5</t>
  </si>
  <si>
    <t xml:space="preserve">12.5</t>
  </si>
  <si>
    <t xml:space="preserve">O programa Excel, do pacote Office 2010, permite computar funções estatísticas a partir de células da planilha. Considerando a planilha com informações da fatura de um cartão de crédito, assinale a alternativa que apresenta a função que retorna o valor total de compras para a categoria “Saúde”. A                 B 1           Categoria           Valor 2             Casa              890 3           Educação           333,8 4           Transporte         36,94 5             Saúde           134,64 6             Saúde            14,49 7          Restaurante         23,8 8           Eletrônicos         173 9           Transporte         260,8 10           Vestuário          327,9 11           Vestuário          89,3 12             Lazer            73,8</t>
  </si>
  <si>
    <t xml:space="preserve">https://seusite-questoes-prod.s3.sa-east-1.amazonaws.com/questions/attachments/EDUCAPB/gerais/562.png</t>
  </si>
  <si>
    <t xml:space="preserve">O programa Excel, do pacote Office 2010, permite computar funções estatísticas a partir decélulas da planilha. Considerando a planilha com dados de consumo de energia elétrica mensal, exibida abaixo, as funções “=MÉDIA(B2:B13)”, “=MODA(B2:B13)”, e“=MEDIANA(B2:B13)”, resultam, respectivamente, nos seguintes valores: Assinale a alternativa CORRETA:</t>
  </si>
  <si>
    <t xml:space="preserve">595.8, 530, 530</t>
  </si>
  <si>
    <t xml:space="preserve">600, 530, 540</t>
  </si>
  <si>
    <t xml:space="preserve">595.8, 540, 530</t>
  </si>
  <si>
    <t xml:space="preserve">600, 540, 530</t>
  </si>
  <si>
    <t xml:space="preserve">595, 455, 530</t>
  </si>
  <si>
    <t xml:space="preserve">https://seusite-questoes-prod.s3.sa-east-1.amazonaws.com/questions/attachments/EDUCAPB/gerais/563.png</t>
  </si>
  <si>
    <t xml:space="preserve">O programa Excel, do pacote Office 2010, permite que as células computem o valor de expressões. Caso a expressão “=2*3+8^2/2” seja inserida em uma célula do Excel, o resultado exibido na planilha será:</t>
  </si>
  <si>
    <t xml:space="preserve">98</t>
  </si>
  <si>
    <t xml:space="preserve">22</t>
  </si>
  <si>
    <t xml:space="preserve">14</t>
  </si>
  <si>
    <t xml:space="preserve">33</t>
  </si>
  <si>
    <t xml:space="preserve">38</t>
  </si>
  <si>
    <t xml:space="preserve">O programa Excel, do pacote Office 2010, disponibiliza uma série de funções que permite sumarizar informações contidas nas células da planilha. Considerando a planilha com dados da temperatura média de cada dia de um mês, a função que computa a quantidade de dias em que a temperatura foi maior ou igual à 30 é:</t>
  </si>
  <si>
    <t xml:space="preserve">https://seusite-questoes-prod.s3.sa-east-1.amazonaws.com/questions/attachments/EDUCAPB/gerais/565.png</t>
  </si>
  <si>
    <t xml:space="preserve">Excel 2016</t>
  </si>
  <si>
    <t xml:space="preserve">excel-2016</t>
  </si>
  <si>
    <t xml:space="preserve">Ao clicar duas vezes com o botão de seleção do mouse um arquivo será inicializado com seu programa padrão. Observe a figura abaixo e assinale a alternativa que representa sua função:</t>
  </si>
  <si>
    <t xml:space="preserve">Abre com OLDPAR.</t>
  </si>
  <si>
    <t xml:space="preserve">Abre com WORD.</t>
  </si>
  <si>
    <t xml:space="preserve">Abre com BLOCO DE NOTAS.</t>
  </si>
  <si>
    <t xml:space="preserve">Abre com EXCEL.</t>
  </si>
  <si>
    <t xml:space="preserve">Abre com IMAGENS.</t>
  </si>
  <si>
    <t xml:space="preserve">informatica, excel-2016</t>
  </si>
  <si>
    <t xml:space="preserve">https://seusite-questoes-prod.s3.sa-east-1.amazonaws.com/questions/attachments/EDUCAPB/gerais/566.png</t>
  </si>
  <si>
    <t xml:space="preserve">Excel 2019</t>
  </si>
  <si>
    <t xml:space="preserve">excel-2019</t>
  </si>
  <si>
    <t xml:space="preserve">O Excel é uma das ferramentas mais versáteis e utilizadas no mundo dos negócios, educação e em diversas áreas profissionais. Ele é um software de planilha eletrônica que permite organizar, analisar e manipular dados em formato tabular. As características e funções do Excel são, EXCETO:</t>
  </si>
  <si>
    <t xml:space="preserve">O Excel é estruturado em células, que se organizam em linhas e colunas. Cada célula pode conter diferentes tipos de dados, como textos, números, datas ou fórmulas.</t>
  </si>
  <si>
    <t xml:space="preserve">Uma de suas utilidades é a classificação de dados de várias maneiras e a aplicação de filtros para destacar apenas informações pertinentes, tornando mais prático qualquer análise.</t>
  </si>
  <si>
    <t xml:space="preserve">Possuindo uma ampla gama de fórmulas e funções que permitem realizar cálculos automáticos, como somas, médias, buscas, contagens, etc. Um exemplo é o cálculo da média aritmética dos valores em um intervalo de células que é definida por =SOMA(A1:A3).</t>
  </si>
  <si>
    <t xml:space="preserve">A criação de gráficos e tabelas dinâmicas, permitindo representar dados de maneira visual para análises mais rápidas e compreensíveis, é uma das aplicações do Excel.</t>
  </si>
  <si>
    <t xml:space="preserve">Para usuários avançados, o Excel oferece a possibilidade de criar macros e automatizar tarefas repetitivas por meio da programação em VBA.</t>
  </si>
  <si>
    <t xml:space="preserve">informatica, excel-2019</t>
  </si>
  <si>
    <t xml:space="preserve">O Microsoft Excel é uma ferramenta poderosa para análise de dados e automação de cálculos por meio de fórmulas e funções. Considerando os recursos avançados do Excel, assinale a alternativa CORRETA:</t>
  </si>
  <si>
    <t xml:space="preserve">A função SE permite criar testes lógicos com múltiplas condições aninhadas.</t>
  </si>
  <si>
    <t xml:space="preserve">As Tabelas Dinâmicas não são compatíveis com filtros ou segmentações.</t>
  </si>
  <si>
    <t xml:space="preserve">A função PROCV permite buscar valores horizontalmente em uma matriz de dados.</t>
  </si>
  <si>
    <t xml:space="preserve">A proteção de planilha impede o uso de qualquer macro, independentemente das permissões do usuário.</t>
  </si>
  <si>
    <t xml:space="preserve">O Excel não permite importar dados de fontes externas como SQL Server ou arquivos CSV.</t>
  </si>
  <si>
    <t xml:space="preserve">O programa Excel permite computar funções a partir de células da planilha. Considere a planilha apresentada com informações de uma lista de compras de supermercado e analise as afirmações a seguir. A                    B                     C 1               Item              Categoria               Valor 2              Maças                Frutas                 7,50 3               Leite             Laticínios               6,00 4           Pão integral           Padaria                 4,50 5              Frango               Carnes                 4,00 6               Arroz               Grãos                  2,00 7              Feijão               Grãos                  3,50 8               Ovos              Laticínios               5,00 9            Sabonete              Higiene                 3,00 10           Detergente            Limpeza                 2,00 I. Ao executar a fórmula =SOMA.SE(B2:B10;"Grãos";C2:C10) o resultado retornado é 5,5. II. Ao executar a fórmula =CONT.SE(C2:C10;2) o resultado retornado é 2. III. Ao executar a fórmula =CORRESP("Laticínios";B2:B10) o resultado retornado é 2. Está(ão) CORRETO(S):</t>
  </si>
  <si>
    <t xml:space="preserve">https://seusite-questoes-prod.s3.sa-east-1.amazonaws.com/questions/attachments/EDUCAPB/gerais/569.png</t>
  </si>
  <si>
    <t xml:space="preserve">Considere a seguinte planilha que contém um resumo das vendas e lucros mensais de uma loja de eletrônicos. Você deseja calcular a média dos valores de vendas para os meses em que o lucro foi maior do que R$3000. No Microsoft Excel, qual função você deve utilizar na célula onde deseja obter esse resultado:</t>
  </si>
  <si>
    <t xml:space="preserve">https://seusite-questoes-prod.s3.sa-east-1.amazonaws.com/questions/attachments/EDUCAPB/gerais/570.png</t>
  </si>
  <si>
    <t xml:space="preserve">O programa Excel permite que as células computem o valor de expressões. Caso a expressão “=9^(1/2)+10*2- 1” seja inserida em uma célula do Excel, o resultado exibido na planilha será:</t>
  </si>
  <si>
    <t xml:space="preserve">23.5</t>
  </si>
  <si>
    <t xml:space="preserve">100</t>
  </si>
  <si>
    <t xml:space="preserve">89</t>
  </si>
  <si>
    <t xml:space="preserve">Qual das seguintes expressões no Excel calcula a soma dos valores nas primeiras 10 células na coluna B, apenas se o valor correspondente na coluna A for "verdadeiro":</t>
  </si>
  <si>
    <t xml:space="preserve">São componentes de uma Planilha de Cálculo, EXCETO:</t>
  </si>
  <si>
    <t xml:space="preserve">Células.</t>
  </si>
  <si>
    <t xml:space="preserve">Fotos.</t>
  </si>
  <si>
    <t xml:space="preserve">Valores.</t>
  </si>
  <si>
    <t xml:space="preserve">Fórmulas.</t>
  </si>
  <si>
    <t xml:space="preserve">Textos lógicos.</t>
  </si>
  <si>
    <t xml:space="preserve">Questões Mescladas de Microsoft Office</t>
  </si>
  <si>
    <t xml:space="preserve">questoes-mescladas-de-microsoft-office</t>
  </si>
  <si>
    <t xml:space="preserve">O Microsoft Excel é um programa de planilha eletrônica desenvolvido pela Microsoft. Ele é usado para organizar, analisar e visualizar dados em forma de tabelas, gráficos e cálculos. É uma das ferramentas mais poderosas para trabalho com números, listas, banco de dados simples e relatórios. Sobre o Excel, assinale a alternativa CORRETA:</t>
  </si>
  <si>
    <t xml:space="preserve">A combinação de teclas Ctrl + Shift + " (aspas duplas) em uma planilha do Excel, como no Microsoft Excel, copia o valor da célula acima para a célula ou barra de fórmulas que está ativa.</t>
  </si>
  <si>
    <t xml:space="preserve">O atalho Ctrl + ; (ponto e vírgula) insere a hora atual na célula selecionada.</t>
  </si>
  <si>
    <t xml:space="preserve">O Excel é um software exclusivo para criação de documentos de texto e edição avançada de imagens.</t>
  </si>
  <si>
    <t xml:space="preserve">O Excel serve apenas para armazenar dados e não permite realizar cálculos automáticos.</t>
  </si>
  <si>
    <t xml:space="preserve">O atalho Alt + Enter insere uma nova planilha na pasta de trabalho.</t>
  </si>
  <si>
    <t xml:space="preserve">informatica, questoes-mescladas-de-microsoft-office</t>
  </si>
  <si>
    <t xml:space="preserve">O Microsoft Word é um editor de textos que permite criar, editar, formatar e imprimir documentos com aparência profissional. ele é amplamente utilizado para a produção de cartas, currículos, trabalhos acadêmicos, relatórios, contratos, entre outros. Em relação às funcionalidades básicas do Microsoft Word e do Microsoft Excel, assinale a alternativa CORRETA:</t>
  </si>
  <si>
    <t xml:space="preserve">No Microsoft Word, fórmulas matemáticas são inseridas automaticamente ao digitar números entre parênteses.</t>
  </si>
  <si>
    <t xml:space="preserve">O Microsoft Excel não permite criar gráficos a partir de dados inseridos em uma planilha.</t>
  </si>
  <si>
    <t xml:space="preserve">No Word, a ferramenta “Controle de Alterações” serve para aplicar filtros em colunas de tabelas.</t>
  </si>
  <si>
    <t xml:space="preserve">O Excel permite utilizar funções como SOMA, MÉDIA e SE para realizar cálculos automáticos em células.</t>
  </si>
  <si>
    <t xml:space="preserve">Word e Excel não possuem integração entre si, sendo programas totalmente independentes e incompatíveis.</t>
  </si>
  <si>
    <t xml:space="preserve">TI - Redes de Computadores</t>
  </si>
  <si>
    <t xml:space="preserve">ti-redes-de-computadores</t>
  </si>
  <si>
    <t xml:space="preserve">Ao configurar uma rede local, um administrador atribuiu a um dispositivo o endereço IP 192.168.10.25 com máscara de sub-rede 255.255.255.0. Considerando os conceitos de endereçamento IP e máscara de sub-rede no modelo TCP/IP, assinale a opção CORRETA:</t>
  </si>
  <si>
    <t xml:space="preserve">A máscara de sub-rede indica que os três primeiros octetos representam o host, enquanto o último representa a rede.</t>
  </si>
  <si>
    <t xml:space="preserve">O endereço de rede correspondente é 192.168.10.0, pois a máscara define que os três primeiros octetos pertencem à rede.</t>
  </si>
  <si>
    <t xml:space="preserve">O endereço IP informado pertence à classe B, cuja máscara padrão é 255.255.0.0.</t>
  </si>
  <si>
    <t xml:space="preserve">A máscara de sub-rede define exclusivamente o protocolo de transporte utilizado, como TCP ou UDP.</t>
  </si>
  <si>
    <t xml:space="preserve">informatica, ti-redes-de-computadores</t>
  </si>
  <si>
    <t xml:space="preserve">Conceitos, Modelos, Tipos e Topologias de Redes</t>
  </si>
  <si>
    <t xml:space="preserve">conceitos-modelos-tipos-e-topologias-de-redes</t>
  </si>
  <si>
    <t xml:space="preserve">No contexto das redes de computadores, as tecnologias Ethernet e Wi-Fi apresentam diferenças estruturais e operacionais relevantes. Sobre essas tecnologias, analise as afirmativas a seguir: I. Redes Ethernet tendem a apresentar maior estabilidade e menor interferência eletromagnética em comparação às redes Wi-Fi, especialmente em ambientes com alta densidade de dispositivos. II. Redes Wi-Fi utilizam meios de transmissão não guiados, estando mais suscetíveis a interferências, obstáculos físicos e variações de sinal. III. Redes Ethernet modernas operam exclusivamente em half-duplex, o que pode gerar colisões frequentes durante a transmissão de dados. IV. Redes Wi-Fi oferecem maior mobilidade ao usuário, porém, em geral, apresentam maior latência e menor confiabilidade quando comparadas às redes cabeadas. Assinale a opção CORRETA:</t>
  </si>
  <si>
    <t xml:space="preserve">Apenas I, II e IV estão corretas.</t>
  </si>
  <si>
    <t xml:space="preserve">Apenas II e III estão corretas.</t>
  </si>
  <si>
    <t xml:space="preserve">informatica, conceitos-modelos-tipos-e-topologias-de-redes</t>
  </si>
  <si>
    <t xml:space="preserve">Julgue os itens a seguir sobre topologias de rede: I. Na topologia em estrela, a falha de um cabo que conecta um dispositivo ao nó central não interrompe toda a rede. II. Na topologia em barramento, todos os dispositivos compartilham um único meio de comunicação, o que pode gerar colisões. III. Na topologia em anel, os dados podem trafegar de forma desorganizada, sem controle de acesso ao meio. IV. A topologia em malha é caracterizada pela existência de múltiplos caminhos entre os dispositivos, aumentando a confiabilidade da rede. Assinale a opção CORRETA:</t>
  </si>
  <si>
    <t xml:space="preserve">Apenas I, II e III são verdadeiras.</t>
  </si>
  <si>
    <t xml:space="preserve">Apenas I, III e IV são verdadeiras</t>
  </si>
  <si>
    <t xml:space="preserve">Apenas II e III são verdadeiras.</t>
  </si>
  <si>
    <t xml:space="preserve">Apenas I, II e IV são verdadeiras.</t>
  </si>
  <si>
    <t xml:space="preserve">As redes de computadores desempenham um papel fundamental nas infraestruturas de TI, pois possibilitam a troca de informações entre dispositivos, a utilização conjunta de recursos e a conexão com a internet. Dentro desse contexto, duas categorias principais se sobressaem. Sobre as características das redes de computadores, assinale a alternativa CORRETA:</t>
  </si>
  <si>
    <t xml:space="preserve">A tecnologia Ethernet de rede de computadores utiliza meio de conexão via ondas de rádio, dispensando cabos físicos.</t>
  </si>
  <si>
    <t xml:space="preserve">As redes Wi-Fi oferecem maior estabilidade e menor suscetibilidade a interferências do que as conexões realizadas por cabos Ethernet.</t>
  </si>
  <si>
    <t xml:space="preserve">A memória cache de um roteador sem fio armazena permanentemente todos os dados transmitidos pela rede garantindo segurança total das informações.</t>
  </si>
  <si>
    <t xml:space="preserve">A tecnologia Ethernet oferece maior estabilidade, menor latência e velocidades de transmissão de dados mais rápidas e consistentes em comparação com o Wi- Fi.</t>
  </si>
  <si>
    <t xml:space="preserve">Protocolos de Redes</t>
  </si>
  <si>
    <t xml:space="preserve">protocolos-de-redes</t>
  </si>
  <si>
    <t xml:space="preserve">Os protocolos de aplicação são regras e padrões que definem como os programas e serviços se comunicam através da rede, permitindo que dados sejam enviados e recebidos de forma organizada e segura. Sobre os protocolos de aplicação, assinale CORRETAMENTE:</t>
  </si>
  <si>
    <t xml:space="preserve">O SMTP é usado para envio de e-mails, enquanto POP3 e IMAP são responsáveis pelo recebimento e gerenciamento das mensagens, sendo que o IMAP mantém os e-mails no servidor.</t>
  </si>
  <si>
    <t xml:space="preserve">O protocolo FTP é utilizado exclusivamente para navegação em páginas web, garantindo criptografia de todas as informações transmitidas.</t>
  </si>
  <si>
    <t xml:space="preserve">HTTP é um protocolo de transferência de arquivos entre servidores, semelhante ao FTP, e não possui relação com a navegação web.</t>
  </si>
  <si>
    <t xml:space="preserve">O HTTPS não oferece qualquer tipo de criptografia, funcionando de forma idêntica ao HTTP, apenas permitindo acesso a sites de notícias.</t>
  </si>
  <si>
    <t xml:space="preserve">informatica, protocolos-de-redes</t>
  </si>
  <si>
    <t xml:space="preserve">“                    é um protocolo de rede usado para transferir arquivos entre um host local e um host remoto ou entre dois hosts remotos. Utiliza o protocolo SSH (Secure Shell) para a transferência de arquivos, o que significa que todos os dados são criptografados durante o transporte. Isso protege tanto os arquivos quanto as credenciais de login contra interceptação.” Assinale a alternativa que PREENCHE CORRETAMENTE a lacuna da afirmação apresentada:</t>
  </si>
  <si>
    <t xml:space="preserve">FTP</t>
  </si>
  <si>
    <t xml:space="preserve">FTPS</t>
  </si>
  <si>
    <t xml:space="preserve">HTTPS</t>
  </si>
  <si>
    <t xml:space="preserve">TLS</t>
  </si>
  <si>
    <t xml:space="preserve">SCP</t>
  </si>
  <si>
    <t xml:space="preserve">A Internet é composta por uma rede global de computadores que são interconectados por intermédio de protocolos. Os protocolos formam a espinha dorsal da Internet, garantindo a interoperabilidade e a transmissão de informações em uma escala global, e tornando a Internet um dos avanços tecnológicos mais transformadores da história moderna. Sobre tais protocolos, analise as seguintes afirmações. I. O HTTP é um protocolo inerentemente seguro do ponto de vista de privacidade dos dados transmitidos entre computadores. II. SMTP é acrônimo para Secure Malicious Threat Protocol, e tem o objetivo de conter ameaças maliciosas na Internet. III. SFTP e FTPS são protocolos usados para transferir arquivos de forma segura pela Internet. Está(ão) CORRETA(S):</t>
  </si>
  <si>
    <t xml:space="preserve">III, apena.</t>
  </si>
  <si>
    <t xml:space="preserve">São indiscutíveis os benefícios que a Internet proporcionou à humanidade. Para a operacionalização dessa grande rede existe uma série de protocolos que especificam como as mais diversas tarefas devem ser executadas. Sobre os protocolos de transferência de arquivos, analise as seguintes afirmações e assinale a alternativa CORRETA. I. SMTP é o acrônimo para Secure Mobile Transfer Protocol, e é um protocolo utilizado especificamente para transferir arquivos de forma segura entre dispositivos móveis. II. FTP é o acrônimo para File Transfer Protocol, e é um protocolo utilizado para transferir arquivos, mas não oferece segurança. III. FTPS é um protocolo que emprega certificados digitais para transferir arquivos de forma segura através de criptografia. Está(ão) CORRETA(S):</t>
  </si>
  <si>
    <t xml:space="preserve">Sobre os protocolos HTTP e HTTPS é incorreto afirmar:</t>
  </si>
  <si>
    <t xml:space="preserve">HTTPs utilizam certificados TSL para estabelecer uma comunicação segura.</t>
  </si>
  <si>
    <t xml:space="preserve">HTTPs impedem que ações mal intencionadas de phishing tenha sucesso.</t>
  </si>
  <si>
    <t xml:space="preserve">HTTPs não permitem que sniffers consigam obter informação inteligível.</t>
  </si>
  <si>
    <t xml:space="preserve">HTTP utiliza um algoritmo de criptografia menos seguro do que o algoritmo utilizado noHTTPS.</t>
  </si>
  <si>
    <t xml:space="preserve">HTTP é abreviação de HyperText Transfer Protocol.</t>
  </si>
  <si>
    <t xml:space="preserve">Conceitos de Internet</t>
  </si>
  <si>
    <t xml:space="preserve">conceitos-de-internet</t>
  </si>
  <si>
    <t xml:space="preserve">Um usuário acessa um computador público para realizar operações bancárias. Ele decide utilizar o modo de navegação anônima, verifica se o site utiliza HTTPS e bloqueia cookies de terceiros durante a sessão. Considerando as funcionalidades e configurações de segurança de navegadores, analise as alternativas e assinale a CORRETA:</t>
  </si>
  <si>
    <t xml:space="preserve">O modo de navegação anônima impede que qualquer dado seja armazenado ou monitorado por sites, tornando o usuário totalmente invisível na internet.</t>
  </si>
  <si>
    <t xml:space="preserve">O bloqueio de cookies de terceiros aumenta a privacidade, mas pode afetar o funcionamento de alguns sites, e o HTTPS garante que os dados transmitidos estão criptografados.</t>
  </si>
  <si>
    <t xml:space="preserve">O histórico de navegação continua sendo registrado mesmo no modo anônimo, mas os certificados digitais garantem que senhas salvas estão protegidas.</t>
  </si>
  <si>
    <t xml:space="preserve">A verificação de HTTPS substitui a necessidade de bloqueio de cookies ou do uso de modo anônimo, garantindo total segurança e privacidade.</t>
  </si>
  <si>
    <t xml:space="preserve">informatica, conceitos-de-internet</t>
  </si>
  <si>
    <t xml:space="preserve">Pertence a categoria dos Plugins, EXCETO:</t>
  </si>
  <si>
    <t xml:space="preserve">Adobe Flash Player.</t>
  </si>
  <si>
    <t xml:space="preserve">Adobe Shockwave Player.</t>
  </si>
  <si>
    <t xml:space="preserve">Nero BurnLite 10.</t>
  </si>
  <si>
    <t xml:space="preserve">FLV Player.</t>
  </si>
  <si>
    <t xml:space="preserve">Microsoft Silverlight.</t>
  </si>
  <si>
    <t xml:space="preserve">Sobre os cookies, utilizado por sites e navegadores, assinale a alternativa CORRETA.</t>
  </si>
  <si>
    <t xml:space="preserve">Os cookies contêm apenas três campos: application, content e expiration.</t>
  </si>
  <si>
    <t xml:space="preserve">Cookies são arquivos texto que armazenam informações sobre o contexto de navegação de um determinado usuário.</t>
  </si>
  <si>
    <t xml:space="preserve">Cookies são programas executáveis.</t>
  </si>
  <si>
    <t xml:space="preserve">Não é possível configurar um tempo de expiração para cookies.</t>
  </si>
  <si>
    <t xml:space="preserve">O cookie é um certificado digital que comprova a idoneidade de um site.</t>
  </si>
  <si>
    <t xml:space="preserve">Internet Explorer</t>
  </si>
  <si>
    <t xml:space="preserve">internet-explorer</t>
  </si>
  <si>
    <t xml:space="preserve">Os atalhos correspondem à digitação de teclas combinadas que executam determinada função no navegador. Sobre a ação e os atalhos do Internet Explorer, analise os itens a seguir e assinale a alternativa INCORRETA: AÇÃO                               ATALHO DE TECLADO I. Adicionar o site atual aos favoritos                    Ctrl + D II. Fechar a guia                               Ctrl + W III. Ir para a home page                        (Não disponível) IV. Excluir o histórico de navegação                  (Não disponível) V. Obter ajuda e suporte                                F5 Estão CORRETAS:</t>
  </si>
  <si>
    <t xml:space="preserve">I, III, IV, V, apenas.</t>
  </si>
  <si>
    <t xml:space="preserve">I, II, III, V, apenas.</t>
  </si>
  <si>
    <t xml:space="preserve">I, II, III, IV, apenas.</t>
  </si>
  <si>
    <t xml:space="preserve">I, II, IV, V, apenas.</t>
  </si>
  <si>
    <t xml:space="preserve">informatica, internet-explorer</t>
  </si>
  <si>
    <t xml:space="preserve">Os atalhos correspondem à digitação de teclas combinadas que executam determinada função no navegador. Sobre a ação e os atalhos do Internet Explorer, analise os itens a seguir e assinale a alternativa INCORRETA: AÇÃO                                ATALHO DE TECLADO I. Abrir uma nova guia                               Ctrl + T II. Abrir uma nova janela de Navegação Ctrl + Shift + P InPrivate III. Imprimir a página atual                           Ctrl + P IV. Atualizar a página                                  F4 V. Exibir downloads                                  Ctrl + J Estão CORRETAS:</t>
  </si>
  <si>
    <t xml:space="preserve">II, III, V, apenas.</t>
  </si>
  <si>
    <t xml:space="preserve">I, II, III, IV, V, apenas.</t>
  </si>
  <si>
    <t xml:space="preserve">https://seusite-questoes-prod.s3.sa-east-1.amazonaws.com/questions/attachments/EDUCAPB/gerais/588.png</t>
  </si>
  <si>
    <t xml:space="preserve">Mozilla Firefox</t>
  </si>
  <si>
    <t xml:space="preserve">mozilla-firefox</t>
  </si>
  <si>
    <t xml:space="preserve">Sobre o navegador Firefox, analise as seguintes afirmações: I. O "Firefox Sync" é um recurso que permite aos usuários sincronizar seus favoritos, histórico, senhas e guias em vários dispositivos, facilitando o acesso a dados de navegação em diferentes plataformas. II. Através da funcionalidade “Senha Principal”, o Firefox pode salvar nomes de usuário e senhas que você usa para acessar serviços online, como sites de e-mail e bancos. III. O Firefox é um navegador que tem código-fonte fechado, e é mantido pela empresa Mozilla. Estão CORRETAS apenas as afirmações:</t>
  </si>
  <si>
    <t xml:space="preserve">I e III.</t>
  </si>
  <si>
    <t xml:space="preserve">informatica, mozilla-firefox</t>
  </si>
  <si>
    <t xml:space="preserve">https://seusite-questoes-prod.s3.sa-east-1.amazonaws.com/questions/attachments/EDUCAPB/gerais/589.png</t>
  </si>
  <si>
    <t xml:space="preserve">Sobre os atalhos do navegador Firefox, analise as seguintes afirmações: I. Ctrl + Shift + P: nova janela privativa. II. Ctrl + H: Abrir painel histórico. III. Ctrl + Del: Apagar histórico recente. Está(ão) CORRETA(S):</t>
  </si>
  <si>
    <t xml:space="preserve">Google Chrome</t>
  </si>
  <si>
    <t xml:space="preserve">google-chrome</t>
  </si>
  <si>
    <t xml:space="preserve">O Google Chrome é um dos navegadores de Internet mais usados no mundo. Sobre o Google Chrome, assinale a alternativa que NÃO descreve uma funcionalidade suportada pelo navegador.</t>
  </si>
  <si>
    <t xml:space="preserve">Ferramentas de Desenvolvedor: Oferece um conjunto robusto de ferramentas para desenvolvedores web para depuração e análise de sites.</t>
  </si>
  <si>
    <t xml:space="preserve">Pesquisa por Voz: Usando o microfone, você pode fazer pesquisas e interagir com o navegador por comando de voz.</t>
  </si>
  <si>
    <t xml:space="preserve">Modo de Navegação Protegida: Navegação com suporte à criptografia de todas as páginas web acessadas.</t>
  </si>
  <si>
    <t xml:space="preserve">Sincronização com sua Conta Google: Permite sincronizar favoritos, histórico, senhas e configurações entre dispositivos.</t>
  </si>
  <si>
    <t xml:space="preserve">Modo de Navegação Anônima: Navegação sem salvar histórico, cookies ou dados temporários.</t>
  </si>
  <si>
    <t xml:space="preserve">informatica, google-chrome</t>
  </si>
  <si>
    <t xml:space="preserve">Sobre os atalhos do navegador Google Chrome, analise as seguintes afirmações: I. F11: alterna para o modo de tela cheia. II. Ctrl + W: fecha guia atual. III. Ctrl + Shift + F: abre/oculta barra de ferramentas. IV. Shift + Esc: abre o gerenciador de tarefas do navegador. Estão CORRETOS:</t>
  </si>
  <si>
    <t xml:space="preserve">III e IV, apenas.</t>
  </si>
  <si>
    <t xml:space="preserve">I, II e III, apenas.</t>
  </si>
  <si>
    <t xml:space="preserve">II, III e IV, apenas.</t>
  </si>
  <si>
    <t xml:space="preserve">I, II e IV, apenas.</t>
  </si>
  <si>
    <t xml:space="preserve">Em um ambiente de trabalho com foco na eficiência e produtividade, um usuário frequente do navegador Google Chrome deseja utilizar atalhos de teclado para otimizar suas tarefas diárias de navegação. Considerando essa necessidade, assinale a alternativa que apresenta a sequência CORRETA de atalhos de teclado para realizar cada uma das seguintes ações no Google Chrome. 1. Fechar a guia ativa. 2. Ativar a barra de pesquisa na página atual. 3. Alternar entre guias abertas. 4. Abrir o gerenciador de downloads.</t>
  </si>
  <si>
    <t xml:space="preserve">Ctrl + Q, Ctrl + F, Ctrl + Tab, Ctrl + J.</t>
  </si>
  <si>
    <t xml:space="preserve">Ctrl + Q, Ctrl + L, Ctrl + Tab, Ctrl + D.</t>
  </si>
  <si>
    <t xml:space="preserve">Ctrl + Q, Ctrl + F, Alt + Ctrl + Tab, Ctrl + D.</t>
  </si>
  <si>
    <t xml:space="preserve">Ctrl + W, Ctrl + F, Ctrl + Tab, Ctrl + J.</t>
  </si>
  <si>
    <t xml:space="preserve">Ctrl + W, Ctrl + L, Ctrl + Tab, Ctrl + J.</t>
  </si>
  <si>
    <t xml:space="preserve">Acerca das ações executadas pelos atalhos disponíveis para o navegador Google Chrome, analise as combinações entre ação e atalho, a seguir e assinale a alternativa CORRETA. AÇÃO                          ATALHO Abrir o menu do Google I                                       Alt + f ou Alt + e Chrome Abrir       a     página    de II    downloads em uma nova Ctrl + d guia Atualizar a página atual, F5 ou Ctr III   ignorando        o     conteúdo l+r armazenado em cache Exibir ou ocultar a barra de IV                                      Ctrl + Shift + b favoritos Estão CORRETAS:</t>
  </si>
  <si>
    <t xml:space="preserve">I, IV, apenas.</t>
  </si>
  <si>
    <t xml:space="preserve">https://seusite-questoes-prod.s3.sa-east-1.amazonaws.com/questions/attachments/EDUCAPB/gerais/595.png</t>
  </si>
  <si>
    <t xml:space="preserve">Sobre os atalhos do navegador Google Chrome, analise as seguintes afirmações: I. Ctrl + T: abre nova aba. II. Ctrl + Shift + T: reabre a última aba que foi fechada. III. Ctrl + N: abre a aba com status dos downloads. IV. Ctrl + J: abre uma nova instância do Google Chrome. V. Ctrl + L: permite buscar por uma palavra na página. Estão CORRETAS:</t>
  </si>
  <si>
    <t xml:space="preserve">Questões Mescladas de Navegadores</t>
  </si>
  <si>
    <t xml:space="preserve">questoes-mescladas-de-navegadores</t>
  </si>
  <si>
    <t xml:space="preserve">Conhecer as características e funções dos navegadores é fundamental para melhorar a experiência de navegação na internet. Isso permite que o usuário escolha a ferramenta mais adequada às suas necessidades, seja para desempenho, segurança, privacidade ou personalização. Sobre as funções dos navegadores de internet, assinale CORRETAMENTE:</t>
  </si>
  <si>
    <t xml:space="preserve">O Google Chrome é um navegador open source.</t>
  </si>
  <si>
    <t xml:space="preserve">A navegação InPrivate é um recurso que permite o continuo registro de dados de navegação.</t>
  </si>
  <si>
    <t xml:space="preserve">Os cookies e cachês dos navegadores são um conjunto de dados que permanecem de modo permanente no dispositivo após o acesso a qualquer site.</t>
  </si>
  <si>
    <t xml:space="preserve">O Sync é um recurso que permite sincronizar dados, como favoritos, senhas, histórico de navegação e configurações, entre vários dispositivos, garantindo uma experiência contínua e personalizada ao utilizar o navegador em diferentes plataformas.</t>
  </si>
  <si>
    <t xml:space="preserve">O HyperText Transfer Protocol Secure (HTTPS), usa criptografia para proteger a comunicação, tornando muito mais fácil para hackers ou terceiros interceptarem e acessarem essas informações.</t>
  </si>
  <si>
    <t xml:space="preserve">informatica, questoes-mescladas-de-navegadores</t>
  </si>
  <si>
    <t xml:space="preserve">“Os navegadores de internet, como o Internet Explorer, o Firefox e o Google Chrome, permitem que os usuários acessem a web e realizem diversas ações, como: Pesquisar conteúdo, Acessar páginas, Visualizar notícias, Efetuar compras, Acessar webmail.” Sobre as principais funções dos navegadores de internet, assinale CORRETAMENTE:</t>
  </si>
  <si>
    <t xml:space="preserve">O Uniform Resource Locator (URL), serve como recurso que possibilita a impressão do conteúdo de uma determinada URL.</t>
  </si>
  <si>
    <t xml:space="preserve">Extensões são instalações adicionais no navegador, também chamadas como plugins.</t>
  </si>
  <si>
    <t xml:space="preserve">As configurações são as áreas mais especializadas do navegador, que contempla personalizações, aspectos de segurança, controle de senhas etc.</t>
  </si>
  <si>
    <t xml:space="preserve">O histórico é o recurso que guarda automaticamente as últimas URLs acessadas em um determinado período (últimos dias, semanas etc.).</t>
  </si>
  <si>
    <t xml:space="preserve">O recurso denominado “favoritos “ permite armazenar as URLs mais importantes, a critério do usuário.</t>
  </si>
  <si>
    <t xml:space="preserve">É um navegador presente nos celulares e tablets. Como existem muitos aparelhos com este SO, a sua participação é bastante significativa no mercado pelos smartphones. O navegador a que se refere o texto é: Assinale a alternativa CORRETA:</t>
  </si>
  <si>
    <t xml:space="preserve">Google Chrome.</t>
  </si>
  <si>
    <t xml:space="preserve">A maioria dos navegadores de Internet disponibiliza uma opção de navegação privativa/anônima. Sobre este tipo de navegação, assinale a alternativa INCORRETA:</t>
  </si>
  <si>
    <t xml:space="preserve">O navegador não salvará o histórico de navegação, cookies, dados de sites, e informações fornecidas em formulários.</t>
  </si>
  <si>
    <t xml:space="preserve">É possível que a atividade do usuário esteja visível para os websites visitados e provedor de acesso à Internet.</t>
  </si>
  <si>
    <t xml:space="preserve">Serviços da Web não são capazes de identificar o endereço IP do usuário.</t>
  </si>
  <si>
    <t xml:space="preserve">Navegação privativa não protege o usuário de programas espiões como Keylogger.</t>
  </si>
  <si>
    <t xml:space="preserve">Downloads efetuados nesse tipo de navegação ainda salvam arquivos no computador mas nenhum registro aparece no histórico de downloads.</t>
  </si>
  <si>
    <t xml:space="preserve">É um programa para você navegar na internet, lançado em 2 de setembro de 2008 e hoje é o navegador mais utilizado no mundo. Uma das vantagens dele é a velocidade de processamento das páginas. Nele já vem integrado proteção contra phishing e malware. O conceito acima é do Navegador:</t>
  </si>
  <si>
    <t xml:space="preserve">Recursos, Campos, Endereçamento (Correio Eletrônico)</t>
  </si>
  <si>
    <t xml:space="preserve">recursos-campos-enderecamento-correio-eletronico</t>
  </si>
  <si>
    <t xml:space="preserve">Sobre o correio eletrônico, é INCORRETO afirmar que:</t>
  </si>
  <si>
    <t xml:space="preserve">No endereço de e-mail “ joao@gmail.com ”, “joao” se refere ao domínio, “gmail” se refere à caixa postal, e “com” se refere ao tipo de caixa postal.</t>
  </si>
  <si>
    <t xml:space="preserve">O correio eletrônico é em sua natureza multi-dispositivo e multi-plataforma.</t>
  </si>
  <si>
    <t xml:space="preserve">Alguns provedores de e-mail cobram pelo serviço.</t>
  </si>
  <si>
    <t xml:space="preserve">Provedores de e-mail tipicamente impõem um limite de tamanho de arquivo a ser enviado por e-mail.</t>
  </si>
  <si>
    <t xml:space="preserve">Usuários de cliente e-mail conseguem visualizar e-mails previamente carregados mesmo quando a Internet não estiver funcionando.</t>
  </si>
  <si>
    <t xml:space="preserve">informatica, recursos-campos-enderecamento-correio-eletronico</t>
  </si>
  <si>
    <t xml:space="preserve">Outlook 2016</t>
  </si>
  <si>
    <t xml:space="preserve">outlook-2016</t>
  </si>
  <si>
    <t xml:space="preserve">Pacote Office é o conjunto de programas utilizados em grande escala para diversos fins, como negócios, estudos, organização pessoal e outros. No Pacote Office, o programa que funciona como um gerenciador de contas de e-mail, muito usado em cargos que dependem da comunicação por e-mail no dia a dia profissional, é:</t>
  </si>
  <si>
    <t xml:space="preserve">Access.</t>
  </si>
  <si>
    <t xml:space="preserve">Excel.</t>
  </si>
  <si>
    <t xml:space="preserve">Word.</t>
  </si>
  <si>
    <t xml:space="preserve">Power Point.</t>
  </si>
  <si>
    <t xml:space="preserve">Outlook.</t>
  </si>
  <si>
    <t xml:space="preserve">informatica, outlook-2016</t>
  </si>
  <si>
    <t xml:space="preserve">Mozilla Thunderbird</t>
  </si>
  <si>
    <t xml:space="preserve">mozilla-thunderbird</t>
  </si>
  <si>
    <t xml:space="preserve">O uso do correio eletrônico (e-mail) é fundamental na comunicação corporativa e pessoal. Ferramentas como o Mozilla Thunderbird permitem gerenciar múltiplas contas de e-mail com suporte a protocolos como POP3, IMAP e SMTP. No entanto, o envio e o recebimento de mensagens envolvem riscos relacionados à segurança da informação, como phishing, spoofing e disseminação de malwares. Considerando o funcionamento do correio eletrônico, as funcionalidades do Thunderbird e os princípios de segurança da informação, assinale a alternativa CORRETA:</t>
  </si>
  <si>
    <t xml:space="preserve">O protocolo POP3 permite acesso simultâneo e sincronizado à conta de e-mail em múltiplos dispositivos, mantendo as mensagens armazenadas no servidor.</t>
  </si>
  <si>
    <t xml:space="preserve">O Thunderbird não oferece suporte nativo à criptografia de e-mails, sendo necessário o uso de complementos como o Enigmail para implementar o padrão OpenPGP.</t>
  </si>
  <si>
    <t xml:space="preserve">O protocolo SMTP é responsável exclusivamente pelo recebimento de mensagens nos clientes de e-mail, como o Thunderbird.</t>
  </si>
  <si>
    <t xml:space="preserve">Spoofing refere-se à interceptação de mensagens criptografadas sem autorização do destinatário.</t>
  </si>
  <si>
    <t xml:space="preserve">O uso de autenticação em dois fatores (2FA) no cliente de e-mail compromete a confidencialidade das mensagens, tornando o sistema mais vulnerável.</t>
  </si>
  <si>
    <t xml:space="preserve">informatica, mozilla-thunderbird</t>
  </si>
  <si>
    <t xml:space="preserve">A respeito do uso de correio eletrônico, o cliente de e-mail Mozilla Thunderbird e práticas de segurança da informação, analise as alternativas e assinale a CORRETA:</t>
  </si>
  <si>
    <t xml:space="preserve">O Mozilla Thunderbird é um serviço de e-mail baseado na web, como o Gmail, que dispensa a instalação de softwares e funciona exclusivamente pelo navegador.</t>
  </si>
  <si>
    <t xml:space="preserve">O protocolo POP3 é utilizado para enviar e-mails com segurança, sendo a principal alternativa ao protocolo SMTP.</t>
  </si>
  <si>
    <t xml:space="preserve">O uso de protocolos como SSL/TLS no cliente de e-mail garante a criptografia das mensagens armazenadas localmente no computador.</t>
  </si>
  <si>
    <t xml:space="preserve">A criptografia de mensagens e o uso de assinatura digital são recursos que podem ser utilizados no Thunderbird para garantir a confidencialidade e autenticidade das comunicações por e-mail.</t>
  </si>
  <si>
    <t xml:space="preserve">A autenticação em duas etapas é um recurso opcional, mas pouco recomendado, pois dificulta o acesso legítimo à conta de e-mail por parte do próprio usuário.</t>
  </si>
  <si>
    <t xml:space="preserve">O Mozilla Thunderbird é uma aplicação gratuita e de código aberto, que funciona como cliente de e-mails, tendo sido produzida pela Mozilla Foundation. Analise as seguintes afirmações sobre características e funcionalidades do Mozilla Thunderbird. I. O Thunderbird suporta criptografia de email de ponta a ponta, e utiliza o protocolo SFTP para realizar tal operação. II. O usuário pode usar os atalhos Ctrl + N ou Ctrl + M para criar uma nova mensagem. III. O Thunderbird usa um filtro adaptativo que aprende com as ações do usuário quais mensagens são legítimas e quais são spam. Está(ão) CORRETO(S):</t>
  </si>
  <si>
    <t xml:space="preserve">Sobre o e-mail Mozilla Thunderbird, assinale a alternativa CORRETA:</t>
  </si>
  <si>
    <t xml:space="preserve">É um Navegador bastante simples, porém poderoso e oferece além das funções básicas diversos recursos para os usuários mais exigentes. Desde a versão 10 do Windows ele passou a ser um navegador substituto, já que a Microsoft lançou o Edge que veio exatamente para substituir o IE.</t>
  </si>
  <si>
    <t xml:space="preserve">É um navegador do Google e é bastante ágil, principalmente no processamento de páginas com muito código em javascript. Ele tem um design mais limpo e é uma alternativa ao Internet Explorer e Firefox.</t>
  </si>
  <si>
    <t xml:space="preserve">É um Navegador que seu Sistema Operacional tem como característica o fato de ter um design mais adequado a nova interface gráfica que a Microsoft adotou deste a versão 8 para o Windows e de fazer o processamento das páginas mais rápidas que o seu antecessor.</t>
  </si>
  <si>
    <t xml:space="preserve">É um Navegador que tem muitos recursos adicionais, também chamados de plugins, que possibilita um maior controle sobre a página vista.</t>
  </si>
  <si>
    <t xml:space="preserve">É um Navegador que tem um leitor de e-mail com funções de bloqueio de imagens e filtro na-spam embutido. Tem como objetivo melhorar a leitura de e-mails e notícias.</t>
  </si>
  <si>
    <t xml:space="preserve">Conceitos e Tipos de Computação em Nuvem (Cloud Computing)</t>
  </si>
  <si>
    <t xml:space="preserve">conceitos-e-tipos-de-computacao-em-nuvem-cloud-computing</t>
  </si>
  <si>
    <t xml:space="preserve">“De forma simples, o backup é uma espécie de cópia de segurança. Caso tenha algum problema com o original, você poderá acionar a cópia (ou seja, o backup) para fazer os procedimentos de restauração. O backup pode ser realizado sobre os arquivos da rede ou sobre os dados armazenados no banco.” Considerando os tipos de backup e seus meios de armazenamento, assinale alternativa CORRETA:</t>
  </si>
  <si>
    <t xml:space="preserve">Backup Completo: copia todos os arquivos, sem distinção. Pelo fato de copiar tudo, o processo de backup é mais rápido.</t>
  </si>
  <si>
    <t xml:space="preserve">Backup Incremental: copia somente os arquivos modificados desde o último backup, independente do seu tipo. Pelo fato de não copiar tudo, o processo de backup é mais devagar.</t>
  </si>
  <si>
    <t xml:space="preserve">Nuvem: tendência do momento. A nuvem transfere a responsabilidade do armazenamento para a empresa provedora do serviço.</t>
  </si>
  <si>
    <t xml:space="preserve">Disco: O disco não permite acesso direto aos dados, que facilita e traz agilidade ao processo de gravação e recuperação.</t>
  </si>
  <si>
    <t xml:space="preserve">Backup Diferencial: copia somente os dados não modificados dos primeiros backups completo.</t>
  </si>
  <si>
    <t xml:space="preserve">informatica, conceitos-e-tipos-de-computacao-em-nuvem-cloud-computing</t>
  </si>
  <si>
    <t xml:space="preserve">Serviços de nuvem podem ser tipificados como SaaS, PaaS, e IaaS. Analise a seguinte afirmação e assinale a alternativa que preenche corretamente as lacunas. “O Google Docs, Dropbox, e Google Drive são REPECTIVAMENTE serviços de nuvem do tipo _______, _______, e _______.”</t>
  </si>
  <si>
    <t xml:space="preserve">SaaS, SaaS, SaaS</t>
  </si>
  <si>
    <t xml:space="preserve">SaaS, SaaS, PaaS</t>
  </si>
  <si>
    <t xml:space="preserve">SaaS, PaaS, PaaS</t>
  </si>
  <si>
    <t xml:space="preserve">PaaS, PaaS, IaaS</t>
  </si>
  <si>
    <t xml:space="preserve">PaaS, IaaS, IaaS</t>
  </si>
  <si>
    <t xml:space="preserve">A computação em nuvem consiste no fornecimento de serviços de computação, incluindo servidores, armazenamento, bancos de dados, rede, software, análise e inteligência, pela Internet (“a nuvem”) para oferecer inovações mais rápidas, recursos flexíveis e economias de escala. Usuários de computação na nuvem normalmente pagam apenas pelos serviços que usam, ajudando a reduzir os custos operacionais, a executar sua infraestrutura com mais eficiência e a escalonar conforme as necessidades da sua empresa mudam. Analise as seguintes afirmativas sobre computação em nuvem. I. “Computação sem servidor” (serverless) concentra-se na criação da funcionalidade de aplicativos, sem perder tempo com o gerenciamento contínuo dos servidores e da infraestrutura necessários. II. AWS, GCP, Alibaba Cloud, e Azure são exemplos de provedores públicos de computação na nuvem. III. Um usuário de PaaS tipicamente aluga a infraestrutura de TI, incluindo máquinas virtuais, armazenamento e redes, de um provedor de nuvem. Está(ão) CORRETA(S):</t>
  </si>
  <si>
    <t xml:space="preserve">A computação na nuvem é um paradigma que revolucionou a forma como empresas, organizações e até mesmo indivíduos acessam, armazenam e gerenciam dados e recursos de computação. Analise as seguintes afirmações sobre características, vantagens e desvantagens da computação na nuvem: I. Uma desvantagem da computação na nuvem é a dificuldade para oferecer alta disponibilidade e tolerância a falhas dada a elevada quantidade de usuários que precisam ser servidos. II. A computação na nuvem oferece escalabilidade, permitindo que as empresas rapidamente aumentem ou diminuam os recursos de computação contratados conforme necessário. III. Serviços de computação na nuvem são especialmente importantes para startups visto que elas não precisariam reservar grande parte de seu orçamento para adquirir e operar recursos de hardware. Estão CORRETAS apenas as afirmações:</t>
  </si>
  <si>
    <t xml:space="preserve">Quais são os três principais modelos de serviço e os três principais modelos de implantação amplamente utilizados na computação em nuvem: Assinale a alternativa CORRETA:</t>
  </si>
  <si>
    <t xml:space="preserve">Modelos de Serviço: Acesso, Desenvolvimento e Colaboração. Modelos de Implantação: Nuvem Pública, Nuvem Privada e Nuvem Híbrida.</t>
  </si>
  <si>
    <t xml:space="preserve">Modelos de Serviço: Virtualização, Armazenamento e Redes. Modelos de Implantação: Centralizada, Distribuída e Isolada.</t>
  </si>
  <si>
    <t xml:space="preserve">Modelos de Serviço: IaaS, PaaS e SaaS. Modelos de Implantação: Nuvem Pública, Nuvem Privada e Nuvem Híbrida.</t>
  </si>
  <si>
    <t xml:space="preserve">Modelos de Serviço: Básico, Intermediário e Avançado. Modelos de Implantação: Centralizada, Distribuída e Isolada.</t>
  </si>
  <si>
    <t xml:space="preserve">Modelos de Serviço: Virtualização, Armazenamento e Redes. Modelos de Implantação: Nuvem Pública, Nuvem Privada e Nuvem Híbrida.</t>
  </si>
  <si>
    <t xml:space="preserve">O paradigma de computação na nuvem possui como um de seus objetivos a terceirização de algumas tarefas que antes eram realizadas completamente no computador do usuário. Sobre esse tema, analise as informações a seguir: I. Um dos serviços oferecidos pelo Google Drive, Dropbox, e OneDrive é o armazenamento em nuvem. II. Google Drive, Dropbox, e OneDrive permitem a edição de documentos e apresentações no próprio navegador de Internet. III. Google Drive, Dropbox, e OneDrive são ferramentas do tipo SaaS, isto é, oferecem software como um serviço. Assinale a alternativa CORRETA:</t>
  </si>
  <si>
    <t xml:space="preserve">Na última década, o paradigma de computação na nuvem tem sido adotado amplamente por empresas públicas e privadas, com o objetivo de tornar suas operações mais eficientes. Dentro desse paradigma se destaca o armazenamento em nuvem, modelo que permite o armazenamento de dados em servidores que ficam hospedados em provedores de computação na nuvem. Sobre o armazenamento em nuvem, é INCORRETO afirmar que:</t>
  </si>
  <si>
    <t xml:space="preserve">Os servidores da nuvem apenas permitem o armazenamento de documentos, planilhas, apresentações, imagens e vídeos.</t>
  </si>
  <si>
    <t xml:space="preserve">Arquivos armazenados na nuvem podem ser acessados de diferentes plataformas: computadores de mesa, notebooks, e smartphones.</t>
  </si>
  <si>
    <t xml:space="preserve">É possível utilizar alguns serviços de armazenamento em nuvem sem instalar programas, bastando apenas utilizar o navegador de Internet.</t>
  </si>
  <si>
    <t xml:space="preserve">Uma das vantagens do modelo de armazenamento em nuvem para empresas é que as empresas não precisam adquirir recursos de hardware específicos para este fim.</t>
  </si>
  <si>
    <t xml:space="preserve">Ao se utilizar de serviços de computação em nuvem, como por exemplo o armazenamento em nuvem, empresas evitam os custos associados a manter um espaço físico para os servidores de armazenamento.</t>
  </si>
  <si>
    <t xml:space="preserve">Analise os itens sobre serviços de computação na nuvem: I. Google Drive, Dropbox e One Drive são exemplos de aplicativos de armazenamento na nuvem. II. Arquivos armazenados no Google Drive e Dropbox podem ser recuperados por aplicativos ou através do site de seus respectivos serviços. III. Um dos benefícios do armazenamento de dados na nuvem é a facilidade de acesso aos dados a partir de diferentes dispositivos. IV. Um dos problemas do armazenamento de dados na nuvem é a dificuldade de manter backups desses dados. Estão CORRETAS:</t>
  </si>
  <si>
    <t xml:space="preserve">I, III e IV.</t>
  </si>
  <si>
    <t xml:space="preserve">Armazenamento em Nuvem ou Cloud Storage é um modelo de armazenamento de arquivos online que permite que você mantenha seus dados sincronizados com todos os seus dispositivos, tais como tablets, smartphones, notebooks e Desktops. Essencialmente os dados ficam armazenados em um servidor seguro e todas as alterações realizadas em qualquer um de seus dispositivos são propagadas para os outros sincronizados nesse servidor (desde que os mesmos estejam conectados a internet). O armazenamento cloud pode ser feito em: I. Nuvem pública. II. Nuvem Comunitária. III. Nuvem Privada. IV. Nuvem híbrida. Estão CORRETAS:</t>
  </si>
  <si>
    <t xml:space="preserve">III, IV.</t>
  </si>
  <si>
    <t xml:space="preserve">I, II, IV.</t>
  </si>
  <si>
    <t xml:space="preserve">O armazenamento em Nuvem ou Cloud Storage é um modelo de armazenamento de arquivos online que permite que você mantenha seus dados sincronizados com todos os seus dispositivos, tais como tablets, smartphones, notebooks e Desktops. O armazenamento cloud pode ser feito em, EXCETO:</t>
  </si>
  <si>
    <t xml:space="preserve">Nuvens públicas.</t>
  </si>
  <si>
    <t xml:space="preserve">Nuvens comunitárias.</t>
  </si>
  <si>
    <t xml:space="preserve">Nuvens híbridas.</t>
  </si>
  <si>
    <t xml:space="preserve">Nuvens Simples.</t>
  </si>
  <si>
    <t xml:space="preserve">Nuvens privadas.</t>
  </si>
  <si>
    <t xml:space="preserve">Aplicativos para Videoconferência (Zoom, Google Meet, etc.)</t>
  </si>
  <si>
    <t xml:space="preserve">aplicativos-para-videoconferencia-zoom-google-meet-etc</t>
  </si>
  <si>
    <t xml:space="preserve">Sobre o uso corporativo de ferramentas de videoconferência, como o Zoom e o Microsoft Teams, analise os itens a seguir: I. O agendamento de reuniões pode ser integrado a calendários corporativos, permitindo envio automático de convites aos participantes. II. O recurso de compartilhamento de tela permite que o apresentador exiba sua área de trabalho ou aplicativos específicos aos demais participantes da reunião. III. A gravação de reuniões é sempre realizada exclusivamente no dispositivo local do organizador, não sendo possível armazenamento em nuvem. IV. O controle de permissões durante a reunião permite ao organizador restringir ações como compartilhamento de tela e ativação de microfones pelos participantes. Assinale a opção CORRETA:</t>
  </si>
  <si>
    <t xml:space="preserve">informatica, aplicativos-para-videoconferencia-zoom-google-meet-etc</t>
  </si>
  <si>
    <t xml:space="preserve">Questões Mescladas de Internet</t>
  </si>
  <si>
    <t xml:space="preserve">questoes-mescladas-de-internet</t>
  </si>
  <si>
    <t xml:space="preserve">A respeito dos conceitos de anonimato e privacidade na internet, assinale a opção CORRETA:</t>
  </si>
  <si>
    <t xml:space="preserve">O modo de navegação anônima dos navegadores impede completamente o rastreamento do usuário por provedores de internet e sites acessados.</t>
  </si>
  <si>
    <t xml:space="preserve">O uso de VPN garante anonimato absoluto, pois impede qualquer tipo de monitoramento ou registro de atividades pelo provedor do serviço.</t>
  </si>
  <si>
    <t xml:space="preserve">A rede Tor utiliza múltiplas camadas de criptografia e roteamento por diversos nós, dificultando a identificação da origem do tráfego.</t>
  </si>
  <si>
    <t xml:space="preserve">O uso de VPN elimina a necessidade de criptografia, pois o simples mascaramento do endereço IP já garante a segurança dos dados transmitidos.</t>
  </si>
  <si>
    <t xml:space="preserve">informatica, questoes-mescladas-de-internet</t>
  </si>
  <si>
    <t xml:space="preserve">A segurança na internet refere-se à proteção de dados, sistemas e redes de computadores contra acessos não autorizados, ataques cibernéticos e danos causados por usuários mal-intencionados. A respeito das boas práticas de segurança contra possíveis ataques na internet, assinale a alternativa CORRETA:</t>
  </si>
  <si>
    <t xml:space="preserve">Usar combinações complexas de caracteres, incluindo números, letras (maiúsculas e minúsculas) e símbolos, além de alterar as senhas regularmente, contribui para criar senhas fortes e garantir a segurança dos dados.</t>
  </si>
  <si>
    <t xml:space="preserve">A autenticação em dois fatores é um sistema frágil de segurança e de fácil acesso para vírus.</t>
  </si>
  <si>
    <t xml:space="preserve">Manter as atualizações regulares do sistema operacional não gera segurança, pois as atualizações não são voltadas para corrigir falhas de segurança conhecidas.</t>
  </si>
  <si>
    <t xml:space="preserve">Antivírus e firewalls não são boas práticas de segurança contra ataques cibernéticos, pois esses softwares facilitam a entrada de hackers nos computadores.</t>
  </si>
  <si>
    <t xml:space="preserve">Os links são sempre seguros e livres de perigos contra malwares.</t>
  </si>
  <si>
    <t xml:space="preserve">Sobre redes sociais e computação em nuvem, analise as afirmativas a seguir: I. Em ambientes de computação em nuvem, o modelo PaaS (Platform as a Service) fornece infraestrutura física, enquanto o gerenciamento de software e dados é responsabilidade exclusiva do usuário, que deve instalar e manter os aplicativos localmente. II. Redes sociais, além de promoverem interações sociais, podem funcionar como plataformas para análise de Big Data, fornecendo dados valiosos para estratégias de marketing preditivo e segmentação de públicos. III. A computação em nuvem utiliza tecnologias de virtualização e orquestração para garantir elasticidade e escalabilidade, permitindo que recursos computacionais sejam alocados dinamicamente conforme a demanda do usuário. IV. Serviços SaaS (Software as a Service) disponibilizam aplicativos que exigem instalação local, mas mantêm dados sincronizados na nuvem para garantir acessibilidade remota e colaboração em tempo real. Assinale a alternativa CORRETA:</t>
  </si>
  <si>
    <t xml:space="preserve">Apenas I e IV estão corretas.</t>
  </si>
  <si>
    <t xml:space="preserve">A respeito das transferências de arquivos pela internet, analise os textos 1 e 2 e assinale a alternativa CORRETA: Texto 1: A transferência de arquivos pela internet permite a troca rápida e eficiente de dados entre dispositivos, facilitando o compartilhamento de informações em tempo real. Texto 2: Entretanto, para garantir a segurança dessas transferências, é essencial utilizar métodos criptografados e verificar a origem dos arquivos para evitar riscos de malware e ataques cibernéticos.</t>
  </si>
  <si>
    <t xml:space="preserve">Os textos 1e 2 estão errados.</t>
  </si>
  <si>
    <t xml:space="preserve">O texto 1 está errado e o texto 2 está correto.</t>
  </si>
  <si>
    <t xml:space="preserve">Ambas os textos estão corretos, mas eles não se complementam.</t>
  </si>
  <si>
    <t xml:space="preserve">Ambas os textos estão corretos e se complementam.</t>
  </si>
  <si>
    <t xml:space="preserve">O texto 1 está correto e o texto 2 errado.</t>
  </si>
  <si>
    <t xml:space="preserve">Conceitos e Princípios de Segurança da Informação</t>
  </si>
  <si>
    <t xml:space="preserve">conceitos-e-principios-de-seguranca-da-informacao</t>
  </si>
  <si>
    <t xml:space="preserve">Um usuário teve seus arquivos criptografados após clicar em um link suspeito recebido por e-mail. Ao buscar formas de evitar esse tipo de situação no futuro, ele recebeu algumas orientações relacionadas à segurança da informação. Com base nessas práticas preventivas, assinale a opção CORRETA:</t>
  </si>
  <si>
    <t xml:space="preserve">A realização de backups regulares elimina completamente a necessidade de atualização de softwares, uma vez que os dados poderão ser restaurados em caso de ataque.</t>
  </si>
  <si>
    <t xml:space="preserve">A manutenção de cópias de segurança (backups) impede totalmente a ocorrência de ataques cibernéticos no sistema.</t>
  </si>
  <si>
    <t xml:space="preserve">Clicar em links desconhecidos é seguro desde que o dispositivo possua antivírus instalado e atualizado.</t>
  </si>
  <si>
    <t xml:space="preserve">A atualização de softwares é uma medida importante de segurança, pois corrige vulnerabilidades que podem ser exploradas por atacantes.</t>
  </si>
  <si>
    <t xml:space="preserve">informatica, conceitos-e-principios-de-seguranca-da-informacao</t>
  </si>
  <si>
    <t xml:space="preserve">De acordo com o Artigo 9º da Lei nº 13.709/2018 (LGPD), analise as alternativas e assinale a CORRETA:</t>
  </si>
  <si>
    <t xml:space="preserve">O controlador não é obrigado a informar ao titular sobre o uso compartilhado de dados pessoais, desde que mantenha o sigilo comercial.</t>
  </si>
  <si>
    <t xml:space="preserve">O consentimento será considerado válido mesmo que as informações tenham sido apresentadas de forma pouco clara, desde que o titular tenha concordado.</t>
  </si>
  <si>
    <t xml:space="preserve">Caso haja alteração nas finalidades do tratamento de dados não compatível com o consentimento original, o controlador deve informar previamente o titular, que poderá revogar o consentimento.</t>
  </si>
  <si>
    <t xml:space="preserve">O titular não precisa ser informado com destaque quando o tratamento de dados for condição para o fornecimento de produto ou serviço.</t>
  </si>
  <si>
    <t xml:space="preserve">O controlador pode recusar o direito de acesso do titular às informações do tratamento quando existirem segredos comerciais e industriais envolvidos.</t>
  </si>
  <si>
    <t xml:space="preserve">A tríade da segurança da informação é crucial porque estabelece a base para proteger os dados e sistemas em um ambiente cada vez mais digital e interconectado. Sem ela, as informações podem estar vulneráveis a uma variedade de ameaças, que podem ter consequências graves para indivíduos e organizações. A importância desse conceito reside em garantir que as informações estejam protegidas não apenas contra acessos não autorizados e modificações indesejadas, mas também assegurando que estejam disponíveis para aqueles que precisam delas quando necessário. Analise as seguintes afirmações que descrevem dois dos três pilares da segurança da informação: I. Garantia de que a informação não seja alterada de forma não autorizada. II. Proteção da informação contra acesso não autorizado. Assinale a alternativa que RELACIONA CORRETAMENTE as afirmações apresentadas e com os pilares da tríade da segurança da informação.</t>
  </si>
  <si>
    <t xml:space="preserve">I - Não-repúdio, II - Privacidade.</t>
  </si>
  <si>
    <t xml:space="preserve">I - Não-repúdio, II - Confidencialidade.</t>
  </si>
  <si>
    <t xml:space="preserve">I - Integridade, II - Confidencialidade.</t>
  </si>
  <si>
    <t xml:space="preserve">I - Integridade, II - Privacidade.</t>
  </si>
  <si>
    <t xml:space="preserve">I - Integridade, II - Não-repúdio.</t>
  </si>
  <si>
    <t xml:space="preserve">Segurança da Informação envolve um conjunto de medidas necessárias por garantir que a confidencialidade, integridade e disponibilidade das informações de uma organização ou indivíduo de forma a preservar esta informação de acordo com necessidades específicas. Os princípios básicos da Segurança da Informação são:</t>
  </si>
  <si>
    <t xml:space="preserve">Disponibilidade, Integridade, Confidencialidade.</t>
  </si>
  <si>
    <t xml:space="preserve">Disponibilidade, Formalidade, Confidencialidade.</t>
  </si>
  <si>
    <t xml:space="preserve">Disponibilidade, Integridade, Formalidade.</t>
  </si>
  <si>
    <t xml:space="preserve">Formalidade, Integridade, Confidencialidade.</t>
  </si>
  <si>
    <t xml:space="preserve">Disponibilidade, Integridade, Igualdade.</t>
  </si>
  <si>
    <t xml:space="preserve">Ameaças (Vírus, Worms, Trojans, Malware, etc.)</t>
  </si>
  <si>
    <t xml:space="preserve">ameacas-virus-worms-trojans-malware-etc</t>
  </si>
  <si>
    <t xml:space="preserve">Os phishing e spam são duas das maneiras mais comuns de ataques na internet que trazem prejuízos aos seus usuários. Colocando em risco dados pessoais, financeiros e até mesmo a segurança digital de empresas. Sobre as formas de ataques cibernéticos, assinale a alternativa INCORRETA:</t>
  </si>
  <si>
    <t xml:space="preserve">Robotexts são mensagens automáticas enviadas para smartphones, oferecendo prêmios falsos, produtos duvidosos ou serviços, geralmente com links para sites perigosos, resultando em fraudes ou roubo de identidade.</t>
  </si>
  <si>
    <t xml:space="preserve">Emails de phishing são um tipo comum de spam, disfarçados de mensagens legítimas, imitando empresas confiáveis para enganar os destinatários e fazer com que cliquem em links maliciosos ou revelem informações pessoais.</t>
  </si>
  <si>
    <t xml:space="preserve">Worms têm a capacidade de se replicar de uma máquina para outra, frequentemente explorando falhas de segurança em softwares ou sistemas operacionais, e funcionam sem precisar da interação do usuário.</t>
  </si>
  <si>
    <t xml:space="preserve">Scareware funciona de modo que os cibercriminosos criam alertas falsos, fazendo com que a vítima acredite que seu dispositivo está infectado, com o objetivo de forçá-la a adquirir um software fraudulento para 'corrigir' o problema.</t>
  </si>
  <si>
    <t xml:space="preserve">Worms não possuem a capacidade de se replicar de uma máquina para outra, frequentemente corrigindo as falhas de segurança em softwares ou sistemas operacionais, e funcionam sem precisar da interação do usuário. Sendo um aliado contra os ataques cibernéticos.</t>
  </si>
  <si>
    <t xml:space="preserve">informatica, ameacas-virus-worms-trojans-malware-etc</t>
  </si>
  <si>
    <t xml:space="preserve">A Segurança da Informação é um conjunto de práticas, políticas e ferramentas que visam proteger dados e sistemas contra acessos não autorizados, perdas, alterações ou danos. Sobre os principais tipos de ameaças digitais, assinale CORRETAMENTE:</t>
  </si>
  <si>
    <t xml:space="preserve">Um worm é um programa malicioso que precisa se anexar a um arquivo legítimo para se propagar e infectar sistemas.</t>
  </si>
  <si>
    <t xml:space="preserve">Trojans são vírus que se replicam automaticamente através de redes, sem necessidade de intervenção do usuário.</t>
  </si>
  <si>
    <t xml:space="preserve">Ransomware é um tipo de malware que criptografa arquivos e exige pagamento de resgate para liberar o acesso aos dados.</t>
  </si>
  <si>
    <t xml:space="preserve">Alguns keyloggers e adwares são classificados como softwares de segurança pela indústria antivírus, pois monitoram atividades e registram dados com a finalidade de aumentar a proteção do usuário.</t>
  </si>
  <si>
    <t xml:space="preserve">“Software malicioso, ou malware, é qualquer código de software ou programa de computador, incluindo ransomware, cavalos de Troia e spyware, escrito intencionalmente para prejudicar os sistemas de computador ou seus usuários.” A respeito dos diferentes tipos de malware e suas características, analise as alternativas e assinale a CORRETA:</t>
  </si>
  <si>
    <t xml:space="preserve">Ransomware é um tipo de malware que utiliza criptografia assimétrica para sequestrar dados do usuário, exigindo pagamento em criptomoedas para a liberação dos arquivos, e geralmente se propaga automaticamente em redes sem intervenção do usuário.</t>
  </si>
  <si>
    <t xml:space="preserve">Worms são programas maliciosos que se replicam e se propagam automaticamente por redes, sem a necessidade de anexar-se a arquivos ou à intervenção do usuário, podendo causar propagação rápida e ampla.</t>
  </si>
  <si>
    <t xml:space="preserve">Spyware é um malware que, além de coletar dados pessoais, sempre modifica arquivos do sistema operacional e criar backdoors para invasores remotos.</t>
  </si>
  <si>
    <t xml:space="preserve">Cavalos de Troia (Trojan) são malwares que se auto replicam e se propagam automaticamente entre dispositivos conectados à internet.</t>
  </si>
  <si>
    <t xml:space="preserve">Vírus são malwares que funcionam exclusivamente em sistemas operacionais baseados em Linux, aproveitando-se das permissões do usuário para se espalhar.</t>
  </si>
  <si>
    <t xml:space="preserve">Sobre os tipos de vírus, worms e pragas virtuais, assinale a alternativa CORRETA:</t>
  </si>
  <si>
    <t xml:space="preserve">Malware é qualquer software desenvolvido com a finalidade de sempre aprimorar um sistema de computador.</t>
  </si>
  <si>
    <t xml:space="preserve">O vírus é um programa benéfico que tem a capacidade de se multiplicar, ele faz cópias de si mesmo infectando os arquivos do computador e outras máquinas.</t>
  </si>
  <si>
    <t xml:space="preserve">Stealth é uma característica de vírus que emprega técnicas para ocultar as modificações realizadas no sistema infectado, e facilitando a detecção por antivírus.</t>
  </si>
  <si>
    <t xml:space="preserve">O cavalo de troia é um malware que se disfarça de software legítimo para enganar o usuário, permitindo que outra pessoa acesse seu computador ou roube seus dados sem autorização.</t>
  </si>
  <si>
    <t xml:space="preserve">Spyware são programas projetados para monitorar atividades no computador e enviar essas informações para terceiros, fazendo isso apenas com a sua permissão</t>
  </si>
  <si>
    <t xml:space="preserve">São programas ou códigos maliciosos que se disfarçam de softwares legítimos para executarem ações danosas ao computador do usuário. Eles não possuem a capacidade de se anexarem a outros arquivos e também de se autorreplicarem. O conceito acima é da praga virtual:</t>
  </si>
  <si>
    <t xml:space="preserve">Malwares.</t>
  </si>
  <si>
    <t xml:space="preserve">Worms.</t>
  </si>
  <si>
    <t xml:space="preserve">Trojan.</t>
  </si>
  <si>
    <t xml:space="preserve">Rootkit.</t>
  </si>
  <si>
    <t xml:space="preserve">Spyware.</t>
  </si>
  <si>
    <t xml:space="preserve">“Com a tecnologia dominando o cotidiano das pessoas que estão cada vez mais dependentes de computadores, celulares e tablets, a incidência de cibercrimes tem aumentado cada vez mais. Os criminosos se aproveitam de ingenuidade dos usuários, muitas vezes leigos quando o assunto é a segurança no mundo tecnológico, além de situações de tensão como guerras e conflitos, e usam        ferramentas como spam, phishing e malwares para roubar dinheiro e dados sigilosos.” Sobre os cibercrimes e as ferramentas utilizadas para o delito, analise as alternativas e assinale a CORRETA:</t>
  </si>
  <si>
    <t xml:space="preserve">Os spams se definem como mensagens indesejadas, sempre de cunho pessoal e não promocional, enviadas em pequeno volume.</t>
  </si>
  <si>
    <t xml:space="preserve">Um malware é um Software projetado para danificar, roubar ou explorar dados de sistemas ou dispositivos, trazendo prejuízos aos usuários.</t>
  </si>
  <si>
    <t xml:space="preserve">O phishing é uma técnica de que traz segurança contra o cibercrime, onde os atacantes se fazem passar por entidades confiáveis, como bancos ou empresas conhecidas, para enganar as vítimas e captarem informações pessoais, como senhas, números de cartão de crédito ou dados bancários.</t>
  </si>
  <si>
    <t xml:space="preserve">Os malwares podem comprometer dispositivos e se apresentar de várias formas, como vírus, worms, trojans, ransomware, spyware e adware.</t>
  </si>
  <si>
    <t xml:space="preserve">Worms são um tipo específico de malware, onde se propagam automaticamente entre os aparelhos, geralmente através de redes, sem a necessidade de interação humana, como clicar em um link ou abrir um arquivo. CONHECIMENTOS</t>
  </si>
  <si>
    <t xml:space="preserve">Os Códigos maliciosos (malware ) são programas especificamente desenvolvidos para executar ações danosas e atividades maliciosas em um computador. Algumas das diversas formas como os códigos maliciosos podem infectar ou comprometer um computador, são: I. Pela exploração de vulnerabilidades existentes nos programas instalados. II. Pela auto execução de mídias removíveis infectadas, como pen-drives. III. Pelo acesso a páginas Web maliciosas, utilizando navegadores vulneráveis. IV. Pela ação direta de atacantes que, após invadirem o computador, incluem arquivos contendo códigos maliciosos. V. Pela execução de arquivos previamente infectados, obtidos em anexos de mensagens eletrônicas, via mídias removíveis, em páginas Web ou diretamente de outros computadores (através do compartilhamento de recursos). Estão CORRETAS:</t>
  </si>
  <si>
    <t xml:space="preserve">III, IV, V, apenas.</t>
  </si>
  <si>
    <t xml:space="preserve">II, III, IV, V, apenas.</t>
  </si>
  <si>
    <t xml:space="preserve">Phishingé uma técnica de fraude cibernética onde atacantes tentam enganar indivíduos para que divulguem informações confidenciais, como senhas, números de cartão de crédito ou outras informações pessoais. Existem vários tipos de phishing, cada um com métodos específicos para atingir suas vítimas. Analise as seguintes afirmativas sobre diferentes tipos de phishing. I. Um ataque direcionado, onde o atacante personaliza o e-mail para uma pessoa específica ou grupo dentro de uma organização. Ele usa informações pessoais da vítima para tornar a mensagem mais convincente. II. Phishing realizado por meio de chamadas telefônicas. O atacante finge ser de uma organização legítima para enganar a vítima a fornecer informações confidenciais por telefone. III. Phishing realizado através de mensagens de texto (SMS). O atacante envia uma mensagem que parece ser de uma entidade confiável, solicitando que a vítima clique em um link ou ligue para um número de telefone. Analise as afirmações apresentadas e marque a alternativa que RELACIONA CORRETAMENTE as afirmações e tipos de Phishing descritos:</t>
  </si>
  <si>
    <t xml:space="preserve">I - Vishing, II - Smishing, III - SpearPhishing.</t>
  </si>
  <si>
    <t xml:space="preserve">I - SpearPhishing, II - Smishing, III – Vishing.</t>
  </si>
  <si>
    <t xml:space="preserve">I - SpearPhishing, II - Vishing, III – Smishing.</t>
  </si>
  <si>
    <t xml:space="preserve">I - Whaling, II - Smishing, III – Vishing.</t>
  </si>
  <si>
    <t xml:space="preserve">I - Whaling, II - Vishing, III – Smishing.</t>
  </si>
  <si>
    <t xml:space="preserve">Rootkits são um tipo específico de malware que se esconde profundamente na máquina infectada, podendo ser instalado em diferentes níveis, o que torna difícil sua detecção e remoção. Eles são projetados para mascarar a presença de outros tipos de malware ou permitir que um invasor mantenha acesso contínuo a um sistema comprometido. Analise as seguintes afirmativas sobre tipos de rootkit em termos de local de instalação e atuação. I. Rootkits que podem ser instalados no núcleo do sistema operacional. II. Rootkits que podem ser instalados no MBR ou na tabela de partição do disco rígido. III. Rootkits que podem ser instalados em componentes como BIOS e UEFI. Assinale a alternativa CORRETA:</t>
  </si>
  <si>
    <t xml:space="preserve">I - Kernel-ModeRootkits, II - Firmware Rootkits, III – Bootkits.</t>
  </si>
  <si>
    <t xml:space="preserve">I - Bootkits, II - Firmware Rootkits, III - Kernel-ModeRootkits.</t>
  </si>
  <si>
    <t xml:space="preserve">I - Firmware Rootkits, II - Bootkits, III - Kernel-ModeRootkits.</t>
  </si>
  <si>
    <t xml:space="preserve">I - Firmware Rootkits, II - Kernel-ModeRootkits, III – Bootkits.</t>
  </si>
  <si>
    <t xml:space="preserve">I - Kernel-ModeRootkits, II - Bootkits, III - Firmware Rootkits.</t>
  </si>
  <si>
    <t xml:space="preserve">Spyware é um tipo de software malicioso projetado para espionar as atividades do usuário em um dispositivo, geralmente sem o conhecimento ou consentimento da vítima. Ele coleta informações e as envia a terceiros, podendo causar desde violações de privacidade até perdas financeiras. Analise as seguintes afirmativas sobre diferentes tipos de spyware. I. Spywares desta categoria registram cada tecla pressionada pelo usuário no teclado. Isso permite que os atacantes obtenham informações confidenciais, como senhas, números de cartão de crédito e mensagens privadas. II. Spywares desta categoria monitoram as atividades de navegação do usuário para exibir anúncios personalizados. III. Um tipo específico de spyware usado para espionagem pessoal, frequentemente instalado em dispositivos de parceiros ou ex-parceiros para monitorar atividades como localização, mensagens e chamadas. Analise as alternativas e marque a que RELACIONA CORRETAMENTE as afirmações e tipos de Phishing descritos.</t>
  </si>
  <si>
    <t xml:space="preserve">I - Keylogger, II - Tracking Cookies; III – Stalkerware.</t>
  </si>
  <si>
    <t xml:space="preserve">I - Keylogger, II - Browserware; III – Stalkerware.</t>
  </si>
  <si>
    <t xml:space="preserve">I - Keystroker, II - Tracking Cookies; III – Partnerware.</t>
  </si>
  <si>
    <t xml:space="preserve">I - Keystroker, II - Browserware; III – Stalkerware.</t>
  </si>
  <si>
    <t xml:space="preserve">I - Keytracker, II - Tracking Cookies; III – Partnerware.</t>
  </si>
  <si>
    <t xml:space="preserve">Códigos maliciosos, também conhecidos como malware, são programas de computador desenvolvidos com intenções nocivas. Eles podem causar danos a sistemas, roubar informações sensíveis e comprometer a segurança dos dados. Diferentes tipos de malware têm características distintas e podem se espalhar de diversas maneiras. Analise as seguintes afirmações: I. Spyware é um tipo de malware que criptografa os arquivos de um sistema e exige um resgate em troca da chave de descriptografia. II. Cavalo de Troia é um tipo de malware que se disfarça como um programa aparentemente legítimo para enganar os usuários e ganhar acesso não autorizado ao sistema. III. Ransomware é um tipo de malware projetado para coletar informações sobre as atividades do usuário sem o seu consentimento e, muitas vezes, sem o seu conhecimento. Está(ão) CORRETA(S):</t>
  </si>
  <si>
    <t xml:space="preserve">I e III, apenas.</t>
  </si>
  <si>
    <t xml:space="preserve">Com o aumento do uso da internet e a dependência da tecnologia em nossas vidas, as ameaças virtuais têm se tornado cada vez mais comuns e preocupantes, pois podem afetar nossa privacidade, segurança, e causar perda financeira. Analise as seguintes afirmações sobre ameaças virtuais. I. Um worm é um programa tipicamente malicioso que se propaga inserindo cópias de si mesmo e se tornando parte de outros programas e arquivos. II. Rootkit é um conjunto de programas e técnicas que permite esconder e assegurar a presença de um invasor ou de outro código malicioso em um computador comprometido. III. E-mail spoofing é uma técnica que consiste em alterar campos do cabeçalho de um e-mail, de forma a aparentar que ele foi enviado de uma determinada origem quando, na verdade, foi enviado de outra. Está(ão) CORRETA(S):</t>
  </si>
  <si>
    <t xml:space="preserve">I, II, e III, apenas.</t>
  </si>
  <si>
    <t xml:space="preserve">Malwares são ameaças cibernéticas que têm como objetivo prejudicar sistemas, dispositivos ou redes de computadores. O termo "malware" é uma abreviação de "software malicioso" e engloba uma variedade de programas desenvolvidos com a intenção de causar danos, roubar informações ou realizar outras atividades maliciosas. Com relação aos malwares, analise as seguintes afirmações: I. O ILOVEYOU foi um malware que se disfarçava como uma mensagem de amor e, quando aberto, infectava o sistema da vítima, corrompendo arquivos e enviando cópias de si mesmo os contatos de e-mail da vítima. II. Keylogger é uma categoria de malware que rouba informações do usuário, gravando as teclas digitadas no computador das vítimas. III. WannaCry era um ransonware que criptografava os arquivos no disco rígido do PC, negando acesso a quaisquer dados do sistema. Em troca, a vítima era forçada a pagar um resgate via Bitcoin para descriptografar seus dados. Estão CORRETAS as afirmações:</t>
  </si>
  <si>
    <t xml:space="preserve">São indiscutíveis os benefícios que a Internet proporcionou à humanidade. Porém, ao utilizar a Internet ficamos suscetíveis a diversas formas de ameaças cibernéticas. Analise as seguintes afirmações e assinale a alternativa CORRETA: I. Jasonware é um malware que restringe o acesso do usuário a seu sistema e exige um pagamento para permitir que o sistema volte a funcionar. II. Sniffers são capazes de capturar e decifrar as informações que trafegam criptografadas na rede. III. Phishing é um artifício usado por atacantes para revelar informações sensíveis como logins e senhas, e dados de cartão de crédito. Está(ão) CORRETA(S):</t>
  </si>
  <si>
    <t xml:space="preserve">A utilização de computadores, sobretudo quando conectados à Internet, torna os usuários suscetíveis às diversas formas de ameaças cibernéticas. Sobre esses ataques, assinale a alternativa INCORRETA:</t>
  </si>
  <si>
    <t xml:space="preserve">Ataques de DDoS geralmente têm o objetivo de tornar sites inacessíveis infectando com vírus os servidores nos quais os sites estão hospedados.</t>
  </si>
  <si>
    <t xml:space="preserve">Adwares geralmente aparecem como janelas de pop-up, apresentando publicidade excessiva, e têm como objetivo gerar receita para seu desenvolvedor.</t>
  </si>
  <si>
    <t xml:space="preserve">Ransomware é um malware que restringe o acesso do usuário a seu sistema e exige um pagamento para permitir que o sistema volte a funcionar.</t>
  </si>
  <si>
    <t xml:space="preserve">Phishing é um artifício usado por atacantes para revelar informações sensíveis como logins e senhas, e dados de cartão de crédito.</t>
  </si>
  <si>
    <t xml:space="preserve">Sniffers são capazes de capturar as informações que trafegam na rede, inclusive senhas e nomes de usuários não criptografados.</t>
  </si>
  <si>
    <t xml:space="preserve">Os vírus de computador são assim chamados pela sua capacidade de propagação para outros computadores. Esta disseminação ocorre através de arquivos infectados, arquivos estes enviados por meio da Internet ou levados pelos próprios usuários através de mídias físicas, como unidades USB. Analise as seguintes afirmações sobre os vírus de computador e sua disseminação. I. Cavalos de Tróia são programas maliciosos que se passam por arquivos ou softwares legítimos. II. Worms são malwares que, apesar de infectar a máquina hospedeira, não têm como objetivo se espalhar para outros computadores. III. Rootkits permitem que invasores assumam total controle da máquina para roubar dados ou instalar outros malwares. IV. Anexos de e-mail de remetentes confiáveis são sempre seguros. Estão CORRETAS:</t>
  </si>
  <si>
    <t xml:space="preserve">I, III, IV.</t>
  </si>
  <si>
    <t xml:space="preserve">“Este malware finge ser um software legítimo para enganar o usuário e abrir as portas para que uma pessoa acesse seu computador ou colete seus dados sem seu consentimento. Esta pessoa por ter acesso ao seu computador pode enviar spans, infectar outros computadores e atacar seu servido”. O conceito refere-se à:</t>
  </si>
  <si>
    <t xml:space="preserve">Cavalos de Troia (Trojans).</t>
  </si>
  <si>
    <t xml:space="preserve">Bot e botnet.</t>
  </si>
  <si>
    <t xml:space="preserve">Hijackers (sequestrador de navegador).</t>
  </si>
  <si>
    <t xml:space="preserve">É um Programa que se aloca como um arquivo no computador da vítima. Ele tem o intuito de roubar informações como passwords, logins e quaisquer dados, sigilosos, ou não, mantidos no micro da vítima. O Programa é:</t>
  </si>
  <si>
    <t xml:space="preserve">Worn.</t>
  </si>
  <si>
    <t xml:space="preserve">Hoaxe.</t>
  </si>
  <si>
    <t xml:space="preserve">Trojan Horse.</t>
  </si>
  <si>
    <t xml:space="preserve">Epywares.</t>
  </si>
  <si>
    <t xml:space="preserve">Keyloggers e hajackers.</t>
  </si>
  <si>
    <t xml:space="preserve">Firewall e Proxy</t>
  </si>
  <si>
    <t xml:space="preserve">firewall-e-proxy</t>
  </si>
  <si>
    <t xml:space="preserve">Os firewalls são componentes cruciais na defesa contra ameaças cibernéticas. Considerando a diversidade de ameaças enfrentadas atualmente, é primordial entender as diferentes categorias de firewalls e como cada uma contribui para a segurança cibernética. Cada afirmação a seguir apresenta características e funcionalidades de um tipo de firewall. I. Examina cada pacote de dados que passa pela rede e decide permitir ou bloquear com base em regras predefinidas, como endereço IP de origem, endereço IP de destino, porta TCP/UDP. II. Tipo de firewall que defende contra ataques de XSS (Cross-Site Scripting) e SQL injection. III. Incorporam recursos de inspeção de pacotes tradicionais com funcionalidades mais avançadas, como filtragem de conteúdo, prevenção de intrusões, detecção de malware e análise de tráfego em tempo real. Assinale a alternativa que especifica os tipos de firewall detalhados nas afirmações I, II, e III, RESPECTIVAMENTE.</t>
  </si>
  <si>
    <t xml:space="preserve">Firewall de Filtro de Pacotes, Firewall de Aplicação WEB, Firewall de Inteligência Artificial.</t>
  </si>
  <si>
    <t xml:space="preserve">Firewall de Enlace, Firewall de Aplicação WEB, Firewall de Inteligência Artificial.</t>
  </si>
  <si>
    <t xml:space="preserve">Firewall de Enlace, Firewall de Proxy, Firewall de Inteligência Artificial.</t>
  </si>
  <si>
    <t xml:space="preserve">Firewall de Filtro de Pacotes, Firewall de Aplicação WEB, Firewall de Próxima Geração.</t>
  </si>
  <si>
    <t xml:space="preserve">Firewall de Enlace, Firewall de Filtro de Pacotes, Firewall de Próxima Geração.</t>
  </si>
  <si>
    <t xml:space="preserve">informatica, firewall-e-proxy</t>
  </si>
  <si>
    <t xml:space="preserve">Os firewalls desempenham um papel crucial na segurança de redes e sistemas, controlando o tráfego de rede com base em regras predefinidas. Avalie as seguintes afirmações relacionadas a firewalls: I. Firewalls de inspeção de estado (Stateful) conseguem tomar decisões sobre permitir ou bloquear tráfego com base no contexto das conexões. II. Firewalls são exclusivamente software e não podem ser implementados em hardware. III. Firewalls de próxima geração (NGFW) são projetados apenas para proteger contra ameaças externas, não internas. Está(ão) CORRETA(S):</t>
  </si>
  <si>
    <t xml:space="preserve">Um firewall é um sistema implementado em software ou hardware, que aplica uma política de segurança com objetivo de proteger uma rede local de ameaças externas ou outros host na própria rede. Sobre os firewalls, analise as seguintes afirmações: I. Todo o tráfego que entra e sai da rede passa necessariamente por um firewall. II. Um firewall pode bloquear portas específicas, endereços IP, e sites, mas não tem capacidade de identificar e bloquear pacotes de tipos ou conteúdo específicos. III. Uma das funções de firewalls é proteger contra infecções de vírus e outros tipos de malware. IV. São tipos de firewall: filtro de pacotes, filtro de estado de sessão, filtro de gateway de aplicação, gerenciamento unificado de ameaças. Estão CORRETAS:</t>
  </si>
  <si>
    <t xml:space="preserve">I, IV.</t>
  </si>
  <si>
    <t xml:space="preserve">Antivírus e Antispyware</t>
  </si>
  <si>
    <t xml:space="preserve">antivirus-e-antispyware</t>
  </si>
  <si>
    <t xml:space="preserve">Sobre aplicativos para segurança de dados, assinale a alternativa INCORRETA:</t>
  </si>
  <si>
    <t xml:space="preserve">Norton Antivirus é um aplicativo de segurança que protege contra vírus, malware, ransomware e outras ameaças, além de oferecer proteção de identidade e firewall.</t>
  </si>
  <si>
    <t xml:space="preserve">ZoneAlarm é um firewall que monitora o tráfego de entrada e saída e protege contra intrusões e acessos não autorizados.</t>
  </si>
  <si>
    <t xml:space="preserve">Malwarebytes é um antivírus especializado exclusivamente na detecção de vírus, mas não detecta spyware ou adware.</t>
  </si>
  <si>
    <t xml:space="preserve">NordVPN é um aplicativo que criptografa a conexão de internet e garante a privacidade online, especialmente útil em redes públicas.</t>
  </si>
  <si>
    <t xml:space="preserve">Bitdefender é um antivírus que oferece proteção contra vírus, malware, ransomware e trojans, além de contar com recursos de monitoramento de navegação e proteção contra phishing.</t>
  </si>
  <si>
    <t xml:space="preserve">informatica, antivirus-e-antispyware</t>
  </si>
  <si>
    <t xml:space="preserve">Sobre o Antivírus, analise os itens abaixo: I. O antivírus é um software de proteção do computador que elimina programas maliciosos que foram desenvolvidos para prejudicar o computador. II. Ele atua para identificação e eliminação da maior quantidade de vírus possível. III. Uma das capacidades do antivírus é inspecionar os anexos do correio eletrônico, procurando por possíveis ameaças. IV. O antivírus analisa os arquivos do computador buscando padrões de comportamento e códigos que não seriam comuns em algum tipo de arquivo e compara com seu banco de dados. Com isto ele avisa o usuário que tem algo suspeito para ele tomar providência. Estão CORRETOS:</t>
  </si>
  <si>
    <t xml:space="preserve">Procedimentos de Segurança da Informação (Senhas, Autenticação, Etc.)</t>
  </si>
  <si>
    <t xml:space="preserve">procedimentos-de-seguranca-da-informacao-senhas-autenticacao-etc</t>
  </si>
  <si>
    <t xml:space="preserve">Em um contexto de segurança da informação, os profissionais frequentemente empregam técnicas avançadas para identificar e mitigar ameaças cibernéticas. Entre essas técnicas, destaca-se o uso de um "Honeypot". O propósito principal de um "Honeypot", é:</t>
  </si>
  <si>
    <t xml:space="preserve">Otimizar a eficiência operacional de servidores.</t>
  </si>
  <si>
    <t xml:space="preserve">Coletar e analisar tráfego de rede legítimo.</t>
  </si>
  <si>
    <t xml:space="preserve">Criar backups offline de dados críticos.</t>
  </si>
  <si>
    <t xml:space="preserve">Detectar e monitorar atividades de atacantes.</t>
  </si>
  <si>
    <t xml:space="preserve">Autenticar usuários por meio do protocolo HoneyBee.</t>
  </si>
  <si>
    <t xml:space="preserve">informatica, procedimentos-de-seguranca-da-informacao-senhas-autenticacao-etc</t>
  </si>
  <si>
    <t xml:space="preserve">Segurança da Informação está relacionada com proteção de um conjunto de dados, no sentido de preservar o valor que possuem para um indivíduo ou uma organização. O mecanismo de segurança da informação de Controles lógicos são:</t>
  </si>
  <si>
    <t xml:space="preserve">Barreiras que impedem ou limitam o acesso a informação, que está em ambiente controlado, geralmente eletrônico, e que, de outro modo, ficaria exposta a alteração não autorizada por elemento mal intencionado.</t>
  </si>
  <si>
    <t xml:space="preserve">São barreiras que limitam o contato ou acesso direto a informação ou a infra-estrutura (que garante a existência da informação) que a suporta.</t>
  </si>
  <si>
    <t xml:space="preserve">Um conjunto de dados criptografados, associados a um documento do qual são função, garantindo a integridade do documento associado, mas não a sua confidencialidade.</t>
  </si>
  <si>
    <t xml:space="preserve">Medida em que um serviço/informação é genuíno, isto é, está protegido contra a personificação por intrusos.</t>
  </si>
  <si>
    <t xml:space="preserve">Usado em funções de "Hashing" ou de checagem, consistindo na adição.</t>
  </si>
  <si>
    <t xml:space="preserve">Demais Recursos (IDS, VPN, etc.)</t>
  </si>
  <si>
    <t xml:space="preserve">demais-recursos-ids-vpn-etc</t>
  </si>
  <si>
    <t xml:space="preserve">É o nome dado a um software, cuja função é detectar ou de impedir a ação de um cracker, de um spammer, ou de qualquer agente externo estranho ao sistema, enganando-o, fazendo-o pensar que esteja de fato explorando uma vulnerabilidade daquele sistema. O mecanismo de segurança da informação do texto acima é:</t>
  </si>
  <si>
    <t xml:space="preserve">Integridade.</t>
  </si>
  <si>
    <t xml:space="preserve">Mecanismos de certificação.</t>
  </si>
  <si>
    <t xml:space="preserve">Controles físicos.</t>
  </si>
  <si>
    <t xml:space="preserve">Mecanismos de criptografia.</t>
  </si>
  <si>
    <t xml:space="preserve">Honeypo.</t>
  </si>
  <si>
    <t xml:space="preserve">informatica, demais-recursos-ids-vpn-etc</t>
  </si>
  <si>
    <t xml:space="preserve">Criptografia, Assinatura e Certificado Digital</t>
  </si>
  <si>
    <t xml:space="preserve">criptografia-assinatura-e-certificado-digital</t>
  </si>
  <si>
    <t xml:space="preserve">A segurança da informação, técnicas de criptografia são amplamente utilizadas para proteger dados em trânsito e em repouso. Considerando criptografia simétrica e assimétrica, analise os itens a seguir: I. A criptografia assimétrica é, em geral, mais rápida e eficiente que a criptografia simétrica, sendo preferida para grandes volumes de dados. II. A criptografia assimétrica utiliza um par de chaves (pública e privada), sendo possível utilizar a chave pública para criptografar uma mensagem que apenas a chave privada correspondente poderá descriptografar. III. A criptografia simétrica utiliza uma única chave compartilhada entre emissor e receptor, o que pode representar um desafio quanto à segurança na distribuição dessa chave. IV. Em sistemas modernos de comunicação segura, é comum a utilização combinada de criptografia assimétrica e simétrica, aproveitando as vantagens de ambas. Assinale a opção CORRETA:</t>
  </si>
  <si>
    <t xml:space="preserve">informatica, criptografia-assinatura-e-certificado-digital</t>
  </si>
  <si>
    <t xml:space="preserve">Considerando os tipos de criptografia, analise as alternativas e assinale a CORRETA:</t>
  </si>
  <si>
    <t xml:space="preserve">A criptografia simétrica é geralmente mais rápida que a assimétrica e utiliza uma única chave para cifrar e decifrar os dados.</t>
  </si>
  <si>
    <t xml:space="preserve">Na criptografia assimétrica, uma única chave é utilizada tanto para cifrar quanto para decifrar os dados, sendo necessário compartilhá-la com segurança entre remetente e destinatário.</t>
  </si>
  <si>
    <t xml:space="preserve">Na criptografia simétrica, são utilizadas duas chaves diferentes, sendo uma pública para cifrar e outra privada para decifrar os dados.</t>
  </si>
  <si>
    <t xml:space="preserve">A criptografia assimétrica não oferece vantagens de segurança em relação à simétrica, sendo apenas uma alternativa mais lenta.</t>
  </si>
  <si>
    <t xml:space="preserve">Lei o texto, complete as lacunas e assinale a alternativa CORRETA: “                   é um protocolo de rede padrão usado para transferir arquivos entre um cliente e um servidor em uma rede TCP/IP. Ele não criptografa os dados nem as credenciais transmitidas, tornando-o vulnerável a ataques de interceptação. Para transferência segura, um protocolo como o               é suficiente.”</t>
  </si>
  <si>
    <t xml:space="preserve">SCP e FTPS</t>
  </si>
  <si>
    <t xml:space="preserve">SCP e SCPS</t>
  </si>
  <si>
    <t xml:space="preserve">SCP e FTP</t>
  </si>
  <si>
    <t xml:space="preserve">FTP e FTPS</t>
  </si>
  <si>
    <t xml:space="preserve">FTP e XSS</t>
  </si>
  <si>
    <t xml:space="preserve">“                       é um mecanismo é usado para criptografar e assinar digitalmente e-mails, bem como arquivos, com o objetivo de garantir a segurança e a privacidade da comunicação.” Assinale a alternativa que PREENCHE CORRETAMENTE a lacuna da afirmação apresentada.</t>
  </si>
  <si>
    <t xml:space="preserve">Esteganografia.</t>
  </si>
  <si>
    <t xml:space="preserve">PGP (Pretty Good Privacy).</t>
  </si>
  <si>
    <t xml:space="preserve">Autenticação.</t>
  </si>
  <si>
    <t xml:space="preserve">Diffie-Hellman.</t>
  </si>
  <si>
    <t xml:space="preserve">MD5 (Message-Digest Algorithm 5).</t>
  </si>
  <si>
    <t xml:space="preserve">Backup</t>
  </si>
  <si>
    <t xml:space="preserve">backup</t>
  </si>
  <si>
    <t xml:space="preserve">Em ambientes corporativos e domésticos, a proteção dos dados exige procedimentos adequados de armazenamento e estratégias eficientes de backup. Tais práticas incluem a escolha correta de dispositivos (como HDs externos, fitas magnéticas e soluções em nuvem), a utilização de aplicativos específicos e a adoção de rotinas automatizadas para garantir a integridade e a disponibilidade da informação. Considerando boas práticas e conceitos relacionados ao armazenamento e à realização de backups, assinale a alternativa CORRETA:</t>
  </si>
  <si>
    <t xml:space="preserve">O backup incremental copia todos os arquivos do sistema, independentemente de alterações, o que garante maior segurança, porém com maior uso de espaço.</t>
  </si>
  <si>
    <t xml:space="preserve">O backup em fita magnética caiu totalmente em desuso por não oferecer confiabilidade ou custo-benefício em ambientes corporativos.</t>
  </si>
  <si>
    <t xml:space="preserve">A estratégia 3-2-1 de backup recomenda manter 3 cópias dos dados, em 2 tipos diferentes de mídia, sendo ao menos 1 cópia fora do local físico principal.</t>
  </si>
  <si>
    <t xml:space="preserve">Armazenamento em nuvem elimina completamente a necessidade de backups locais, pois os dados na nuvem são imunes a falhas e ataques.</t>
  </si>
  <si>
    <t xml:space="preserve">Aplicativos de backup não permitem agendamento de cópias automatizadas, exigindo intervenção manual para cada execução.</t>
  </si>
  <si>
    <t xml:space="preserve">informatica, backup</t>
  </si>
  <si>
    <t xml:space="preserve">Backup é uma cópia de segurança dos seus dados de um dispositivo de armazenamento (celulares, tablets, computadores) ou sistema (aplicativos, softwares e jogos) para outro ambiente para que eles possam ser restaurados se você perdeu as informações originais, trocou de aparelho, entre outros casos. Sobre o Backup em nuvem, analise as alternativas e assinale a CORRETA:</t>
  </si>
  <si>
    <t xml:space="preserve">São os discos rígidos externos (HDs), CDs e pen drives. Não deve fazer backup de arquivos de um computador, por exemplo, no mesmo HD em que o seu Windows está instalado.</t>
  </si>
  <si>
    <t xml:space="preserve">É uma cópia de segurança, também conhecida como cloud backup, leva seus dados para um servidor remoto, ao qual você pode acessar pela Internet. Basicamente, você usa o espaço de armazenamento de outro computador.</t>
  </si>
  <si>
    <t xml:space="preserve">Pode ser feito uma cópia de segurança das suas conversas e arquivos de mídia para o Google Drive (Android) ou iCloud (iPhone).</t>
  </si>
  <si>
    <t xml:space="preserve">É o tipo de cópia de segurança que você vai fazer, vai depender da versão do Windows. O backup manual é recomendado no caso de versões mais recentes. Nele, você escolhe e transfere arquivos e configurações em uma mídia removível ou um local de rede.</t>
  </si>
  <si>
    <t xml:space="preserve">É um tipo de disco rígido que você vai fazer, na versão do Windows 7. O backup manual é recomendado no caso de versões mais remotas. Nele, você escolhe e transfere arquivos e configurações em uma mídia removível ou um local de rede.</t>
  </si>
  <si>
    <t xml:space="preserve">Procedimentos de backup são extremamente importantes para resguardar os dados de uma organização contra ataques cibernéticos e outros tipos de desastres. Portanto, é fundamental conhecer as ferramentas para criação de backups, os diferentes tipos de backups, e os aspectos positivos e negativos de cada abordagem. Analise as seguintes informações sobre backups. I. Rsync é uma ferramenta para sistemas operacionais Windows e permite criar rotinas de backups incrementais para salvar os arquivos localmente ou em servidor remoto. II. No backup do tipo espelhado, sempre que um dado é adicionado na fonte, uma cópia dele é criada no backup, e sempre que um dado é removido da fonte, sua cópia não é removida do backup como forma de mitigar contra remoções acidentais. III. Backups mantidos offline, i.e., inacessível através da rede, são chamados de air gap backups, e o objetivo é protegê-los de ataques cibernéticos da Internet. Está(ão) CORRETO(S):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</si>
</sst>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000000"/>
      <name val="Calibri"/>
      <family val="2"/>
      <charset val="1"/>
    </font>
    <font>
      <b val="true"/>
      <i val="true"/>
      <sz val="8"/>
      <color rgb="FF000000"/>
      <name val="Arial"/>
      <family val="0"/>
      <charset val="1"/>
    </font>
  </fonts>
  <fills count="4">
    <fill>
      <patternFill patternType="none"/>
    </fill>
    <fill>
      <patternFill patternType="gray125"/>
    </fill>
    <fill>
      <patternFill patternType="solid">
        <fgColor rgb="FFFFFFFF"/>
        <bgColor rgb="FFFFFFCC"/>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FF"/>
          <bgColor rgb="FF000000"/>
        </patternFill>
      </fill>
    </dxf>
    <dxf>
      <fill>
        <patternFill patternType="solid">
          <fgColor rgb="FF000000"/>
          <bgColor rgb="FF000000"/>
        </patternFill>
      </fill>
    </dxf>
    <dxf>
      <fill>
        <patternFill patternType="solid">
          <fgColor rgb="FFFF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eusite-questoes-prod.s3.sa-east-1.amazonaws.com/questions/attachments/EDUCAPB/gerais/483.png" TargetMode="External"/><Relationship Id="rId2" Type="http://schemas.openxmlformats.org/officeDocument/2006/relationships/hyperlink" Target="https://seusite-questoes-prod.s3.sa-east-1.amazonaws.com/questions/attachments/EDUCAPB/gerais/489.png" TargetMode="External"/><Relationship Id="rId3" Type="http://schemas.openxmlformats.org/officeDocument/2006/relationships/hyperlink" Target="https://seusite-questoes-prod.s3.sa-east-1.amazonaws.com/questions/attachments/EDUCAPB/gerais/500.png" TargetMode="External"/><Relationship Id="rId4" Type="http://schemas.openxmlformats.org/officeDocument/2006/relationships/hyperlink" Target="https://seusite-questoes-prod.s3.sa-east-1.amazonaws.com/questions/attachments/EDUCAPB/gerais/513.png" TargetMode="External"/><Relationship Id="rId5" Type="http://schemas.openxmlformats.org/officeDocument/2006/relationships/hyperlink" Target="https://seusite-questoes-prod.s3.sa-east-1.amazonaws.com/questions/attachments/EDUCAPB/gerais/529.png" TargetMode="External"/><Relationship Id="rId6" Type="http://schemas.openxmlformats.org/officeDocument/2006/relationships/hyperlink" Target="https://seusite-questoes-prod.s3.sa-east-1.amazonaws.com/questions/attachments/EDUCAPB/gerais/557.png" TargetMode="External"/><Relationship Id="rId7" Type="http://schemas.openxmlformats.org/officeDocument/2006/relationships/hyperlink" Target="https://seusite-questoes-prod.s3.sa-east-1.amazonaws.com/questions/attachments/EDUCAPB/gerais/562.png" TargetMode="External"/><Relationship Id="rId8" Type="http://schemas.openxmlformats.org/officeDocument/2006/relationships/hyperlink" Target="https://seusite-questoes-prod.s3.sa-east-1.amazonaws.com/questions/attachments/EDUCAPB/gerais/563.png" TargetMode="External"/><Relationship Id="rId9" Type="http://schemas.openxmlformats.org/officeDocument/2006/relationships/hyperlink" Target="https://seusite-questoes-prod.s3.sa-east-1.amazonaws.com/questions/attachments/EDUCAPB/gerais/565.png" TargetMode="External"/><Relationship Id="rId10" Type="http://schemas.openxmlformats.org/officeDocument/2006/relationships/hyperlink" Target="https://seusite-questoes-prod.s3.sa-east-1.amazonaws.com/questions/attachments/EDUCAPB/gerais/566.png" TargetMode="External"/><Relationship Id="rId11" Type="http://schemas.openxmlformats.org/officeDocument/2006/relationships/hyperlink" Target="https://seusite-questoes-prod.s3.sa-east-1.amazonaws.com/questions/attachments/EDUCAPB/gerais/569.png" TargetMode="External"/><Relationship Id="rId12" Type="http://schemas.openxmlformats.org/officeDocument/2006/relationships/hyperlink" Target="https://seusite-questoes-prod.s3.sa-east-1.amazonaws.com/questions/attachments/EDUCAPB/gerais/570.png" TargetMode="External"/><Relationship Id="rId13" Type="http://schemas.openxmlformats.org/officeDocument/2006/relationships/hyperlink" Target="https://seusite-questoes-prod.s3.sa-east-1.amazonaws.com/questions/attachments/EDUCAPB/gerais/588.png" TargetMode="External"/><Relationship Id="rId14" Type="http://schemas.openxmlformats.org/officeDocument/2006/relationships/hyperlink" Target="https://seusite-questoes-prod.s3.sa-east-1.amazonaws.com/questions/attachments/EDUCAPB/gerais/589.png" TargetMode="External"/><Relationship Id="rId15" Type="http://schemas.openxmlformats.org/officeDocument/2006/relationships/hyperlink" Target="https://seusite-questoes-prod.s3.sa-east-1.amazonaws.com/questions/attachments/EDUCAPB/gerais/595.png" TargetMode="External"/><Relationship Id="rId1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23.85" hidden="false" customHeight="false" outlineLevel="0" collapsed="false">
      <c r="A14" s="2" t="s">
        <v>12</v>
      </c>
    </row>
    <row r="15" customFormat="false" ht="23.85" hidden="false" customHeight="false" outlineLevel="0" collapsed="false">
      <c r="A15" s="2" t="s">
        <v>13</v>
      </c>
    </row>
    <row r="16" customFormat="false" ht="15" hidden="false" customHeight="false" outlineLevel="0" collapsed="false">
      <c r="A16" s="2"/>
    </row>
    <row r="17" customFormat="false" ht="23.8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2"/>
  <sheetViews>
    <sheetView showFormulas="false" showGridLines="false" showRowColHeaders="true" showZeros="true" rightToLeft="false" tabSelected="true" showOutlineSymbols="true" defaultGridColor="true" view="normal" topLeftCell="T1" colorId="64" zoomScale="100" zoomScaleNormal="100" zoomScalePageLayoutView="100" workbookViewId="0">
      <pane xSplit="0" ySplit="1" topLeftCell="A2" activePane="bottomLeft" state="frozen"/>
      <selection pane="topLeft" activeCell="T1" activeCellId="0" sqref="T1"/>
      <selection pane="bottomLeft" activeCell="W4" activeCellId="0" sqref="W4"/>
    </sheetView>
  </sheetViews>
  <sheetFormatPr defaultColWidth="8.6796875" defaultRowHeight="15" zeroHeight="false" outlineLevelRow="0" outlineLevelCol="0"/>
  <cols>
    <col collapsed="false" customWidth="true" hidden="false" outlineLevel="0" max="1" min="1" style="3" width="22"/>
    <col collapsed="false" customWidth="true" hidden="false" outlineLevel="0" max="2" min="2" style="3" width="18"/>
    <col collapsed="false" customWidth="true" hidden="false" outlineLevel="0" max="3" min="3" style="3" width="22"/>
    <col collapsed="false" customWidth="true" hidden="false" outlineLevel="0" max="4" min="4" style="3" width="18"/>
    <col collapsed="false" customWidth="true" hidden="false" outlineLevel="0" max="5" min="5" style="3" width="20"/>
    <col collapsed="false" customWidth="true" hidden="false" outlineLevel="0" max="6" min="6" style="3" width="16"/>
    <col collapsed="false" customWidth="true" hidden="false" outlineLevel="0" max="7" min="7" style="3" width="14"/>
    <col collapsed="false" customWidth="true" hidden="false" outlineLevel="0" max="8" min="8" style="3" width="12"/>
    <col collapsed="false" customWidth="true" hidden="false" outlineLevel="0" max="9" min="9" style="3" width="26"/>
    <col collapsed="false" customWidth="true" hidden="false" outlineLevel="0" max="10" min="10" style="3" width="12"/>
    <col collapsed="false" customWidth="true" hidden="false" outlineLevel="0" max="11" min="11" style="3" width="26"/>
    <col collapsed="false" customWidth="true" hidden="false" outlineLevel="0" max="14" min="12" style="3" width="12"/>
    <col collapsed="false" customWidth="true" hidden="false" outlineLevel="0" max="15" min="15" style="3" width="60"/>
    <col collapsed="false" customWidth="true" hidden="false" outlineLevel="0" max="16" min="16" style="3" width="50"/>
    <col collapsed="false" customWidth="true" hidden="false" outlineLevel="0" max="21" min="17" style="3" width="35"/>
    <col collapsed="false" customWidth="true" hidden="false" outlineLevel="0" max="22" min="22" style="3" width="12"/>
    <col collapsed="false" customWidth="true" hidden="false" outlineLevel="0" max="23" min="23" style="3" width="30"/>
    <col collapsed="false" customWidth="true" hidden="false" outlineLevel="0" max="24" min="24" style="4" width="40"/>
    <col collapsed="false" customWidth="true" hidden="false" outlineLevel="0" max="25" min="25" style="3" width="14"/>
    <col collapsed="false" customWidth="false" hidden="false" outlineLevel="0" max="16384" min="26" style="3" width="8.68"/>
  </cols>
  <sheetData>
    <row r="1" customFormat="false" ht="12" hidden="false" customHeight="true" outlineLevel="0" collapsed="false">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c r="Q1" s="5" t="s">
        <v>33</v>
      </c>
      <c r="R1" s="5" t="s">
        <v>34</v>
      </c>
      <c r="S1" s="5" t="s">
        <v>35</v>
      </c>
      <c r="T1" s="5" t="s">
        <v>36</v>
      </c>
      <c r="U1" s="5" t="s">
        <v>37</v>
      </c>
      <c r="V1" s="5" t="s">
        <v>38</v>
      </c>
      <c r="W1" s="5" t="s">
        <v>39</v>
      </c>
      <c r="X1" s="6" t="s">
        <v>40</v>
      </c>
      <c r="Y1" s="5" t="s">
        <v>41</v>
      </c>
    </row>
    <row r="2" customFormat="false" ht="12" hidden="false" customHeight="true" outlineLevel="0" collapsed="false">
      <c r="A2" s="5"/>
      <c r="B2" s="5"/>
      <c r="C2" s="5"/>
      <c r="D2" s="5"/>
      <c r="E2" s="5"/>
      <c r="F2" s="5"/>
      <c r="G2" s="5"/>
      <c r="H2" s="5"/>
      <c r="I2" s="5"/>
      <c r="J2" s="5"/>
      <c r="K2" s="5"/>
      <c r="L2" s="5"/>
      <c r="M2" s="5"/>
      <c r="N2" s="5"/>
      <c r="O2" s="5"/>
      <c r="P2" s="5"/>
      <c r="Q2" s="5"/>
      <c r="R2" s="5"/>
      <c r="S2" s="5"/>
      <c r="T2" s="5"/>
      <c r="U2" s="5"/>
      <c r="V2" s="5"/>
      <c r="W2" s="5"/>
      <c r="X2" s="6"/>
      <c r="Y2" s="5"/>
    </row>
    <row r="3" customFormat="false" ht="90" hidden="false" customHeight="true" outlineLevel="0" collapsed="false">
      <c r="A3" s="5" t="s">
        <v>42</v>
      </c>
      <c r="B3" s="5" t="s">
        <v>43</v>
      </c>
      <c r="C3" s="5" t="s">
        <v>44</v>
      </c>
      <c r="D3" s="5" t="s">
        <v>45</v>
      </c>
      <c r="E3" s="5"/>
      <c r="F3" s="5"/>
      <c r="G3" s="5" t="s">
        <v>46</v>
      </c>
      <c r="H3" s="5" t="s">
        <v>46</v>
      </c>
      <c r="I3" s="5" t="s">
        <v>47</v>
      </c>
      <c r="J3" s="5"/>
      <c r="K3" s="5" t="s">
        <v>48</v>
      </c>
      <c r="L3" s="5" t="n">
        <v>2026</v>
      </c>
      <c r="M3" s="5" t="n">
        <v>2026</v>
      </c>
      <c r="N3" s="5" t="s">
        <v>49</v>
      </c>
      <c r="O3" s="5" t="s">
        <v>50</v>
      </c>
      <c r="P3" s="5" t="s">
        <v>51</v>
      </c>
      <c r="Q3" s="5" t="s">
        <v>52</v>
      </c>
      <c r="R3" s="5" t="s">
        <v>53</v>
      </c>
      <c r="S3" s="5" t="s">
        <v>54</v>
      </c>
      <c r="T3" s="5" t="s">
        <v>55</v>
      </c>
      <c r="U3" s="5"/>
      <c r="V3" s="5" t="s">
        <v>56</v>
      </c>
      <c r="W3" s="5" t="s">
        <v>57</v>
      </c>
      <c r="X3" s="6"/>
      <c r="Y3" s="5" t="s">
        <v>58</v>
      </c>
    </row>
    <row r="4" customFormat="false" ht="90" hidden="false" customHeight="true" outlineLevel="0" collapsed="false">
      <c r="A4" s="5" t="s">
        <v>42</v>
      </c>
      <c r="B4" s="5" t="s">
        <v>43</v>
      </c>
      <c r="C4" s="5" t="s">
        <v>44</v>
      </c>
      <c r="D4" s="5" t="s">
        <v>45</v>
      </c>
      <c r="E4" s="5"/>
      <c r="F4" s="5"/>
      <c r="G4" s="5" t="s">
        <v>46</v>
      </c>
      <c r="H4" s="5" t="s">
        <v>46</v>
      </c>
      <c r="I4" s="5" t="s">
        <v>47</v>
      </c>
      <c r="J4" s="5"/>
      <c r="K4" s="5" t="s">
        <v>48</v>
      </c>
      <c r="L4" s="5" t="n">
        <v>2026</v>
      </c>
      <c r="M4" s="5" t="n">
        <v>2026</v>
      </c>
      <c r="N4" s="5" t="s">
        <v>49</v>
      </c>
      <c r="O4" s="5" t="s">
        <v>59</v>
      </c>
      <c r="P4" s="5" t="s">
        <v>60</v>
      </c>
      <c r="Q4" s="5" t="s">
        <v>61</v>
      </c>
      <c r="R4" s="5" t="s">
        <v>62</v>
      </c>
      <c r="S4" s="5" t="s">
        <v>63</v>
      </c>
      <c r="T4" s="5" t="s">
        <v>64</v>
      </c>
      <c r="U4" s="5"/>
      <c r="V4" s="5" t="s">
        <v>65</v>
      </c>
      <c r="W4" s="5" t="s">
        <v>57</v>
      </c>
      <c r="X4" s="6"/>
      <c r="Y4" s="5" t="s">
        <v>58</v>
      </c>
    </row>
    <row r="5" customFormat="false" ht="90" hidden="false" customHeight="true" outlineLevel="0" collapsed="false">
      <c r="A5" s="5" t="s">
        <v>42</v>
      </c>
      <c r="B5" s="5" t="s">
        <v>43</v>
      </c>
      <c r="C5" s="5" t="s">
        <v>44</v>
      </c>
      <c r="D5" s="5" t="s">
        <v>45</v>
      </c>
      <c r="E5" s="5"/>
      <c r="F5" s="5"/>
      <c r="G5" s="5" t="s">
        <v>46</v>
      </c>
      <c r="H5" s="5" t="s">
        <v>46</v>
      </c>
      <c r="I5" s="5" t="s">
        <v>66</v>
      </c>
      <c r="J5" s="5"/>
      <c r="K5" s="5" t="s">
        <v>67</v>
      </c>
      <c r="L5" s="5" t="n">
        <v>2025</v>
      </c>
      <c r="M5" s="5" t="n">
        <v>2025</v>
      </c>
      <c r="N5" s="5" t="s">
        <v>49</v>
      </c>
      <c r="O5" s="5" t="s">
        <v>68</v>
      </c>
      <c r="P5" s="5" t="s">
        <v>69</v>
      </c>
      <c r="Q5" s="5" t="s">
        <v>70</v>
      </c>
      <c r="R5" s="5" t="s">
        <v>71</v>
      </c>
      <c r="S5" s="5" t="s">
        <v>72</v>
      </c>
      <c r="T5" s="5" t="s">
        <v>73</v>
      </c>
      <c r="U5" s="5" t="s">
        <v>74</v>
      </c>
      <c r="V5" s="5" t="s">
        <v>75</v>
      </c>
      <c r="W5" s="5" t="s">
        <v>57</v>
      </c>
      <c r="X5" s="6"/>
      <c r="Y5" s="5" t="s">
        <v>58</v>
      </c>
    </row>
    <row r="6" customFormat="false" ht="90" hidden="false" customHeight="true" outlineLevel="0" collapsed="false">
      <c r="A6" s="5" t="s">
        <v>42</v>
      </c>
      <c r="B6" s="5" t="s">
        <v>43</v>
      </c>
      <c r="C6" s="5" t="s">
        <v>44</v>
      </c>
      <c r="D6" s="5" t="s">
        <v>45</v>
      </c>
      <c r="E6" s="5"/>
      <c r="F6" s="5"/>
      <c r="G6" s="5" t="s">
        <v>46</v>
      </c>
      <c r="H6" s="5" t="s">
        <v>46</v>
      </c>
      <c r="I6" s="5" t="s">
        <v>76</v>
      </c>
      <c r="J6" s="5"/>
      <c r="K6" s="5" t="s">
        <v>77</v>
      </c>
      <c r="L6" s="5" t="n">
        <v>2025</v>
      </c>
      <c r="M6" s="5" t="n">
        <v>2025</v>
      </c>
      <c r="N6" s="5" t="s">
        <v>49</v>
      </c>
      <c r="O6" s="5" t="s">
        <v>78</v>
      </c>
      <c r="P6" s="5" t="s">
        <v>60</v>
      </c>
      <c r="Q6" s="5" t="s">
        <v>79</v>
      </c>
      <c r="R6" s="5" t="s">
        <v>80</v>
      </c>
      <c r="S6" s="5" t="s">
        <v>81</v>
      </c>
      <c r="T6" s="5" t="s">
        <v>82</v>
      </c>
      <c r="U6" s="5" t="s">
        <v>83</v>
      </c>
      <c r="V6" s="5" t="s">
        <v>65</v>
      </c>
      <c r="W6" s="5" t="s">
        <v>57</v>
      </c>
      <c r="X6" s="6"/>
      <c r="Y6" s="5" t="s">
        <v>58</v>
      </c>
    </row>
    <row r="7" customFormat="false" ht="90" hidden="false" customHeight="true" outlineLevel="0" collapsed="false">
      <c r="A7" s="5" t="s">
        <v>42</v>
      </c>
      <c r="B7" s="5" t="s">
        <v>43</v>
      </c>
      <c r="C7" s="5" t="s">
        <v>44</v>
      </c>
      <c r="D7" s="5" t="s">
        <v>45</v>
      </c>
      <c r="E7" s="5"/>
      <c r="F7" s="5"/>
      <c r="G7" s="5" t="s">
        <v>46</v>
      </c>
      <c r="H7" s="5" t="s">
        <v>46</v>
      </c>
      <c r="I7" s="5" t="s">
        <v>84</v>
      </c>
      <c r="J7" s="5"/>
      <c r="K7" s="5" t="s">
        <v>85</v>
      </c>
      <c r="L7" s="5" t="n">
        <v>2025</v>
      </c>
      <c r="M7" s="5" t="n">
        <v>2025</v>
      </c>
      <c r="N7" s="5" t="s">
        <v>49</v>
      </c>
      <c r="O7" s="5" t="s">
        <v>86</v>
      </c>
      <c r="P7" s="5" t="s">
        <v>60</v>
      </c>
      <c r="Q7" s="5" t="s">
        <v>87</v>
      </c>
      <c r="R7" s="5" t="s">
        <v>88</v>
      </c>
      <c r="S7" s="5" t="s">
        <v>89</v>
      </c>
      <c r="T7" s="5" t="s">
        <v>90</v>
      </c>
      <c r="U7" s="5"/>
      <c r="V7" s="5" t="s">
        <v>65</v>
      </c>
      <c r="W7" s="5" t="s">
        <v>57</v>
      </c>
      <c r="X7" s="6"/>
      <c r="Y7" s="5" t="s">
        <v>58</v>
      </c>
    </row>
    <row r="8" customFormat="false" ht="90" hidden="false" customHeight="true" outlineLevel="0" collapsed="false">
      <c r="A8" s="5" t="s">
        <v>42</v>
      </c>
      <c r="B8" s="5" t="s">
        <v>43</v>
      </c>
      <c r="C8" s="5" t="s">
        <v>44</v>
      </c>
      <c r="D8" s="5" t="s">
        <v>45</v>
      </c>
      <c r="E8" s="5"/>
      <c r="F8" s="5"/>
      <c r="G8" s="5" t="s">
        <v>46</v>
      </c>
      <c r="H8" s="5" t="s">
        <v>46</v>
      </c>
      <c r="I8" s="5" t="s">
        <v>66</v>
      </c>
      <c r="J8" s="5"/>
      <c r="K8" s="5" t="s">
        <v>67</v>
      </c>
      <c r="L8" s="5" t="n">
        <v>2025</v>
      </c>
      <c r="M8" s="5" t="n">
        <v>2025</v>
      </c>
      <c r="N8" s="5" t="s">
        <v>49</v>
      </c>
      <c r="O8" s="5" t="s">
        <v>91</v>
      </c>
      <c r="P8" s="5" t="s">
        <v>60</v>
      </c>
      <c r="Q8" s="5" t="s">
        <v>92</v>
      </c>
      <c r="R8" s="5" t="s">
        <v>93</v>
      </c>
      <c r="S8" s="5" t="s">
        <v>94</v>
      </c>
      <c r="T8" s="5" t="s">
        <v>95</v>
      </c>
      <c r="U8" s="5" t="s">
        <v>96</v>
      </c>
      <c r="V8" s="5" t="s">
        <v>65</v>
      </c>
      <c r="W8" s="5" t="s">
        <v>57</v>
      </c>
      <c r="X8" s="6"/>
      <c r="Y8" s="5" t="s">
        <v>58</v>
      </c>
    </row>
    <row r="9" customFormat="false" ht="90" hidden="false" customHeight="true" outlineLevel="0" collapsed="false">
      <c r="A9" s="5" t="s">
        <v>42</v>
      </c>
      <c r="B9" s="5" t="s">
        <v>43</v>
      </c>
      <c r="C9" s="5" t="s">
        <v>44</v>
      </c>
      <c r="D9" s="5" t="s">
        <v>45</v>
      </c>
      <c r="E9" s="5"/>
      <c r="F9" s="5"/>
      <c r="G9" s="5" t="s">
        <v>46</v>
      </c>
      <c r="H9" s="5" t="s">
        <v>46</v>
      </c>
      <c r="I9" s="5" t="s">
        <v>66</v>
      </c>
      <c r="J9" s="5"/>
      <c r="K9" s="5" t="s">
        <v>67</v>
      </c>
      <c r="L9" s="5" t="n">
        <v>2025</v>
      </c>
      <c r="M9" s="5" t="n">
        <v>2025</v>
      </c>
      <c r="N9" s="5" t="s">
        <v>49</v>
      </c>
      <c r="O9" s="5" t="s">
        <v>97</v>
      </c>
      <c r="P9" s="5" t="s">
        <v>98</v>
      </c>
      <c r="Q9" s="5" t="s">
        <v>99</v>
      </c>
      <c r="R9" s="5" t="s">
        <v>100</v>
      </c>
      <c r="S9" s="5" t="s">
        <v>101</v>
      </c>
      <c r="T9" s="5" t="s">
        <v>102</v>
      </c>
      <c r="U9" s="5" t="s">
        <v>103</v>
      </c>
      <c r="V9" s="5" t="s">
        <v>104</v>
      </c>
      <c r="W9" s="5" t="s">
        <v>57</v>
      </c>
      <c r="X9" s="6"/>
      <c r="Y9" s="5" t="s">
        <v>58</v>
      </c>
    </row>
    <row r="10" customFormat="false" ht="90" hidden="false" customHeight="true" outlineLevel="0" collapsed="false">
      <c r="A10" s="5" t="s">
        <v>42</v>
      </c>
      <c r="B10" s="5" t="s">
        <v>43</v>
      </c>
      <c r="C10" s="5" t="s">
        <v>44</v>
      </c>
      <c r="D10" s="5" t="s">
        <v>45</v>
      </c>
      <c r="E10" s="5"/>
      <c r="F10" s="5"/>
      <c r="G10" s="5" t="s">
        <v>46</v>
      </c>
      <c r="H10" s="5" t="s">
        <v>46</v>
      </c>
      <c r="I10" s="5" t="s">
        <v>76</v>
      </c>
      <c r="J10" s="5"/>
      <c r="K10" s="5" t="s">
        <v>77</v>
      </c>
      <c r="L10" s="5" t="n">
        <v>2025</v>
      </c>
      <c r="M10" s="5" t="n">
        <v>2025</v>
      </c>
      <c r="N10" s="5" t="s">
        <v>49</v>
      </c>
      <c r="O10" s="5" t="s">
        <v>105</v>
      </c>
      <c r="P10" s="5" t="s">
        <v>60</v>
      </c>
      <c r="Q10" s="5" t="s">
        <v>106</v>
      </c>
      <c r="R10" s="5" t="s">
        <v>107</v>
      </c>
      <c r="S10" s="5" t="s">
        <v>108</v>
      </c>
      <c r="T10" s="5" t="s">
        <v>109</v>
      </c>
      <c r="U10" s="5" t="s">
        <v>110</v>
      </c>
      <c r="V10" s="5" t="s">
        <v>65</v>
      </c>
      <c r="W10" s="5" t="s">
        <v>57</v>
      </c>
      <c r="X10" s="6"/>
      <c r="Y10" s="5" t="s">
        <v>58</v>
      </c>
    </row>
    <row r="11" customFormat="false" ht="90" hidden="false" customHeight="true" outlineLevel="0" collapsed="false">
      <c r="A11" s="5" t="s">
        <v>42</v>
      </c>
      <c r="B11" s="5" t="s">
        <v>43</v>
      </c>
      <c r="C11" s="5" t="s">
        <v>44</v>
      </c>
      <c r="D11" s="5" t="s">
        <v>45</v>
      </c>
      <c r="E11" s="5"/>
      <c r="F11" s="5"/>
      <c r="G11" s="5" t="s">
        <v>46</v>
      </c>
      <c r="H11" s="5" t="s">
        <v>46</v>
      </c>
      <c r="I11" s="5" t="s">
        <v>76</v>
      </c>
      <c r="J11" s="5"/>
      <c r="K11" s="5" t="s">
        <v>77</v>
      </c>
      <c r="L11" s="5" t="n">
        <v>2025</v>
      </c>
      <c r="M11" s="5" t="n">
        <v>2025</v>
      </c>
      <c r="N11" s="5" t="s">
        <v>49</v>
      </c>
      <c r="O11" s="5" t="s">
        <v>111</v>
      </c>
      <c r="P11" s="5" t="s">
        <v>51</v>
      </c>
      <c r="Q11" s="5" t="s">
        <v>112</v>
      </c>
      <c r="R11" s="5" t="s">
        <v>113</v>
      </c>
      <c r="S11" s="5" t="s">
        <v>114</v>
      </c>
      <c r="T11" s="5" t="s">
        <v>115</v>
      </c>
      <c r="U11" s="5" t="s">
        <v>116</v>
      </c>
      <c r="V11" s="5" t="s">
        <v>56</v>
      </c>
      <c r="W11" s="5" t="s">
        <v>57</v>
      </c>
      <c r="X11" s="6"/>
      <c r="Y11" s="5" t="s">
        <v>58</v>
      </c>
    </row>
    <row r="12" customFormat="false" ht="90" hidden="false" customHeight="true" outlineLevel="0" collapsed="false">
      <c r="A12" s="5" t="s">
        <v>42</v>
      </c>
      <c r="B12" s="5" t="s">
        <v>43</v>
      </c>
      <c r="C12" s="5" t="s">
        <v>44</v>
      </c>
      <c r="D12" s="5" t="s">
        <v>45</v>
      </c>
      <c r="E12" s="5"/>
      <c r="F12" s="5"/>
      <c r="G12" s="5" t="s">
        <v>46</v>
      </c>
      <c r="H12" s="5" t="s">
        <v>46</v>
      </c>
      <c r="I12" s="5" t="s">
        <v>47</v>
      </c>
      <c r="J12" s="5"/>
      <c r="K12" s="5" t="s">
        <v>117</v>
      </c>
      <c r="L12" s="5" t="n">
        <v>2024</v>
      </c>
      <c r="M12" s="5" t="n">
        <v>2024</v>
      </c>
      <c r="N12" s="5" t="s">
        <v>49</v>
      </c>
      <c r="O12" s="5" t="s">
        <v>118</v>
      </c>
      <c r="P12" s="5" t="s">
        <v>69</v>
      </c>
      <c r="Q12" s="5" t="s">
        <v>119</v>
      </c>
      <c r="R12" s="5" t="s">
        <v>120</v>
      </c>
      <c r="S12" s="5" t="s">
        <v>121</v>
      </c>
      <c r="T12" s="5" t="s">
        <v>122</v>
      </c>
      <c r="U12" s="5" t="s">
        <v>123</v>
      </c>
      <c r="V12" s="5" t="s">
        <v>75</v>
      </c>
      <c r="W12" s="5" t="s">
        <v>57</v>
      </c>
      <c r="X12" s="6"/>
      <c r="Y12" s="5" t="s">
        <v>58</v>
      </c>
    </row>
    <row r="13" customFormat="false" ht="90" hidden="false" customHeight="true" outlineLevel="0" collapsed="false">
      <c r="A13" s="5" t="s">
        <v>42</v>
      </c>
      <c r="B13" s="5" t="s">
        <v>43</v>
      </c>
      <c r="C13" s="5" t="s">
        <v>124</v>
      </c>
      <c r="D13" s="5" t="s">
        <v>125</v>
      </c>
      <c r="E13" s="5"/>
      <c r="F13" s="5"/>
      <c r="G13" s="5" t="s">
        <v>46</v>
      </c>
      <c r="H13" s="5" t="s">
        <v>46</v>
      </c>
      <c r="I13" s="5" t="s">
        <v>126</v>
      </c>
      <c r="J13" s="5"/>
      <c r="K13" s="5" t="s">
        <v>127</v>
      </c>
      <c r="L13" s="5" t="n">
        <v>2025</v>
      </c>
      <c r="M13" s="5" t="n">
        <v>2025</v>
      </c>
      <c r="N13" s="5" t="s">
        <v>49</v>
      </c>
      <c r="O13" s="5" t="s">
        <v>128</v>
      </c>
      <c r="P13" s="5" t="s">
        <v>60</v>
      </c>
      <c r="Q13" s="5" t="s">
        <v>129</v>
      </c>
      <c r="R13" s="5" t="s">
        <v>130</v>
      </c>
      <c r="S13" s="5" t="s">
        <v>131</v>
      </c>
      <c r="T13" s="5" t="s">
        <v>132</v>
      </c>
      <c r="U13" s="5" t="s">
        <v>133</v>
      </c>
      <c r="V13" s="5" t="s">
        <v>65</v>
      </c>
      <c r="W13" s="5" t="s">
        <v>134</v>
      </c>
      <c r="X13" s="6"/>
      <c r="Y13" s="5" t="s">
        <v>58</v>
      </c>
    </row>
    <row r="14" customFormat="false" ht="90" hidden="false" customHeight="true" outlineLevel="0" collapsed="false">
      <c r="A14" s="5" t="s">
        <v>42</v>
      </c>
      <c r="B14" s="5" t="s">
        <v>43</v>
      </c>
      <c r="C14" s="5" t="s">
        <v>124</v>
      </c>
      <c r="D14" s="5" t="s">
        <v>125</v>
      </c>
      <c r="E14" s="5"/>
      <c r="F14" s="5"/>
      <c r="G14" s="5" t="s">
        <v>46</v>
      </c>
      <c r="H14" s="5" t="s">
        <v>46</v>
      </c>
      <c r="I14" s="5" t="s">
        <v>135</v>
      </c>
      <c r="J14" s="5"/>
      <c r="K14" s="5" t="s">
        <v>136</v>
      </c>
      <c r="L14" s="5" t="n">
        <v>2024</v>
      </c>
      <c r="M14" s="5" t="n">
        <v>2024</v>
      </c>
      <c r="N14" s="5" t="s">
        <v>49</v>
      </c>
      <c r="O14" s="5" t="s">
        <v>137</v>
      </c>
      <c r="P14" s="5" t="s">
        <v>69</v>
      </c>
      <c r="Q14" s="5" t="s">
        <v>131</v>
      </c>
      <c r="R14" s="5" t="s">
        <v>138</v>
      </c>
      <c r="S14" s="5" t="s">
        <v>129</v>
      </c>
      <c r="T14" s="5" t="s">
        <v>139</v>
      </c>
      <c r="U14" s="5" t="s">
        <v>132</v>
      </c>
      <c r="V14" s="5" t="s">
        <v>75</v>
      </c>
      <c r="W14" s="5" t="s">
        <v>134</v>
      </c>
      <c r="X14" s="6"/>
      <c r="Y14" s="5" t="s">
        <v>58</v>
      </c>
    </row>
    <row r="15" customFormat="false" ht="90" hidden="false" customHeight="true" outlineLevel="0" collapsed="false">
      <c r="A15" s="5" t="s">
        <v>42</v>
      </c>
      <c r="B15" s="5" t="s">
        <v>43</v>
      </c>
      <c r="C15" s="5" t="s">
        <v>124</v>
      </c>
      <c r="D15" s="5" t="s">
        <v>125</v>
      </c>
      <c r="E15" s="5"/>
      <c r="F15" s="5"/>
      <c r="G15" s="5" t="s">
        <v>46</v>
      </c>
      <c r="H15" s="5" t="s">
        <v>46</v>
      </c>
      <c r="I15" s="5" t="s">
        <v>140</v>
      </c>
      <c r="J15" s="5"/>
      <c r="K15" s="5" t="s">
        <v>141</v>
      </c>
      <c r="L15" s="5" t="n">
        <v>2023</v>
      </c>
      <c r="M15" s="5" t="n">
        <v>2023</v>
      </c>
      <c r="N15" s="5" t="s">
        <v>49</v>
      </c>
      <c r="O15" s="5" t="s">
        <v>142</v>
      </c>
      <c r="P15" s="5" t="s">
        <v>69</v>
      </c>
      <c r="Q15" s="5" t="s">
        <v>143</v>
      </c>
      <c r="R15" s="5" t="s">
        <v>129</v>
      </c>
      <c r="S15" s="5" t="s">
        <v>144</v>
      </c>
      <c r="T15" s="5" t="s">
        <v>145</v>
      </c>
      <c r="U15" s="5" t="s">
        <v>146</v>
      </c>
      <c r="V15" s="5" t="s">
        <v>75</v>
      </c>
      <c r="W15" s="5" t="s">
        <v>134</v>
      </c>
      <c r="X15" s="6"/>
      <c r="Y15" s="5" t="s">
        <v>58</v>
      </c>
    </row>
    <row r="16" customFormat="false" ht="90" hidden="false" customHeight="true" outlineLevel="0" collapsed="false">
      <c r="A16" s="5" t="s">
        <v>42</v>
      </c>
      <c r="B16" s="5" t="s">
        <v>43</v>
      </c>
      <c r="C16" s="5" t="s">
        <v>124</v>
      </c>
      <c r="D16" s="5" t="s">
        <v>125</v>
      </c>
      <c r="E16" s="5"/>
      <c r="F16" s="5"/>
      <c r="G16" s="5" t="s">
        <v>46</v>
      </c>
      <c r="H16" s="5" t="s">
        <v>46</v>
      </c>
      <c r="I16" s="5" t="s">
        <v>147</v>
      </c>
      <c r="J16" s="5"/>
      <c r="K16" s="5" t="s">
        <v>148</v>
      </c>
      <c r="L16" s="5" t="n">
        <v>2022</v>
      </c>
      <c r="M16" s="5" t="n">
        <v>2022</v>
      </c>
      <c r="N16" s="5" t="s">
        <v>49</v>
      </c>
      <c r="O16" s="5" t="s">
        <v>149</v>
      </c>
      <c r="P16" s="5" t="s">
        <v>60</v>
      </c>
      <c r="Q16" s="5" t="s">
        <v>150</v>
      </c>
      <c r="R16" s="5" t="s">
        <v>151</v>
      </c>
      <c r="S16" s="5" t="s">
        <v>152</v>
      </c>
      <c r="T16" s="5" t="s">
        <v>153</v>
      </c>
      <c r="U16" s="5" t="s">
        <v>154</v>
      </c>
      <c r="V16" s="5" t="s">
        <v>65</v>
      </c>
      <c r="W16" s="5" t="s">
        <v>134</v>
      </c>
      <c r="X16" s="6"/>
      <c r="Y16" s="5" t="s">
        <v>58</v>
      </c>
    </row>
    <row r="17" customFormat="false" ht="90" hidden="false" customHeight="true" outlineLevel="0" collapsed="false">
      <c r="A17" s="5" t="s">
        <v>42</v>
      </c>
      <c r="B17" s="5" t="s">
        <v>43</v>
      </c>
      <c r="C17" s="5" t="s">
        <v>124</v>
      </c>
      <c r="D17" s="5" t="s">
        <v>125</v>
      </c>
      <c r="E17" s="5"/>
      <c r="F17" s="5"/>
      <c r="G17" s="5" t="s">
        <v>46</v>
      </c>
      <c r="H17" s="5" t="s">
        <v>46</v>
      </c>
      <c r="I17" s="5" t="s">
        <v>155</v>
      </c>
      <c r="J17" s="5"/>
      <c r="K17" s="5" t="s">
        <v>156</v>
      </c>
      <c r="L17" s="5" t="n">
        <v>2020</v>
      </c>
      <c r="M17" s="5" t="n">
        <v>2020</v>
      </c>
      <c r="N17" s="5" t="s">
        <v>49</v>
      </c>
      <c r="O17" s="5" t="s">
        <v>157</v>
      </c>
      <c r="P17" s="5" t="s">
        <v>158</v>
      </c>
      <c r="Q17" s="5" t="s">
        <v>159</v>
      </c>
      <c r="R17" s="5" t="s">
        <v>160</v>
      </c>
      <c r="S17" s="5" t="s">
        <v>130</v>
      </c>
      <c r="T17" s="5" t="s">
        <v>131</v>
      </c>
      <c r="U17" s="5" t="s">
        <v>161</v>
      </c>
      <c r="V17" s="5" t="s">
        <v>162</v>
      </c>
      <c r="W17" s="5" t="s">
        <v>134</v>
      </c>
      <c r="X17" s="6"/>
      <c r="Y17" s="5" t="s">
        <v>58</v>
      </c>
    </row>
    <row r="18" customFormat="false" ht="90" hidden="false" customHeight="true" outlineLevel="0" collapsed="false">
      <c r="A18" s="5" t="s">
        <v>42</v>
      </c>
      <c r="B18" s="5" t="s">
        <v>43</v>
      </c>
      <c r="C18" s="5" t="s">
        <v>124</v>
      </c>
      <c r="D18" s="5" t="s">
        <v>125</v>
      </c>
      <c r="E18" s="5"/>
      <c r="F18" s="5"/>
      <c r="G18" s="5" t="s">
        <v>46</v>
      </c>
      <c r="H18" s="5" t="s">
        <v>46</v>
      </c>
      <c r="I18" s="5" t="s">
        <v>155</v>
      </c>
      <c r="J18" s="5"/>
      <c r="K18" s="5" t="s">
        <v>156</v>
      </c>
      <c r="L18" s="5" t="n">
        <v>2020</v>
      </c>
      <c r="M18" s="5" t="n">
        <v>2020</v>
      </c>
      <c r="N18" s="5" t="s">
        <v>49</v>
      </c>
      <c r="O18" s="5" t="s">
        <v>163</v>
      </c>
      <c r="P18" s="5" t="s">
        <v>158</v>
      </c>
      <c r="Q18" s="5" t="s">
        <v>164</v>
      </c>
      <c r="R18" s="5" t="s">
        <v>165</v>
      </c>
      <c r="S18" s="5" t="s">
        <v>166</v>
      </c>
      <c r="T18" s="5" t="s">
        <v>119</v>
      </c>
      <c r="U18" s="5" t="s">
        <v>167</v>
      </c>
      <c r="V18" s="5" t="s">
        <v>162</v>
      </c>
      <c r="W18" s="5" t="s">
        <v>134</v>
      </c>
      <c r="X18" s="6"/>
      <c r="Y18" s="5" t="s">
        <v>58</v>
      </c>
    </row>
    <row r="19" customFormat="false" ht="90" hidden="false" customHeight="true" outlineLevel="0" collapsed="false">
      <c r="A19" s="5" t="s">
        <v>42</v>
      </c>
      <c r="B19" s="5" t="s">
        <v>43</v>
      </c>
      <c r="C19" s="5" t="s">
        <v>168</v>
      </c>
      <c r="D19" s="5" t="s">
        <v>169</v>
      </c>
      <c r="E19" s="5"/>
      <c r="F19" s="5"/>
      <c r="G19" s="5" t="s">
        <v>46</v>
      </c>
      <c r="H19" s="5" t="s">
        <v>46</v>
      </c>
      <c r="I19" s="5" t="s">
        <v>47</v>
      </c>
      <c r="J19" s="5"/>
      <c r="K19" s="5" t="s">
        <v>48</v>
      </c>
      <c r="L19" s="5" t="n">
        <v>2026</v>
      </c>
      <c r="M19" s="5" t="n">
        <v>2026</v>
      </c>
      <c r="N19" s="5" t="s">
        <v>49</v>
      </c>
      <c r="O19" s="5" t="s">
        <v>170</v>
      </c>
      <c r="P19" s="5" t="s">
        <v>158</v>
      </c>
      <c r="Q19" s="5" t="s">
        <v>171</v>
      </c>
      <c r="R19" s="5" t="s">
        <v>172</v>
      </c>
      <c r="S19" s="5" t="s">
        <v>173</v>
      </c>
      <c r="T19" s="5" t="s">
        <v>174</v>
      </c>
      <c r="U19" s="5"/>
      <c r="V19" s="5" t="s">
        <v>162</v>
      </c>
      <c r="W19" s="5" t="s">
        <v>175</v>
      </c>
      <c r="X19" s="6"/>
      <c r="Y19" s="5" t="s">
        <v>58</v>
      </c>
    </row>
    <row r="20" customFormat="false" ht="90" hidden="false" customHeight="true" outlineLevel="0" collapsed="false">
      <c r="A20" s="5" t="s">
        <v>42</v>
      </c>
      <c r="B20" s="5" t="s">
        <v>43</v>
      </c>
      <c r="C20" s="5" t="s">
        <v>168</v>
      </c>
      <c r="D20" s="5" t="s">
        <v>169</v>
      </c>
      <c r="E20" s="5"/>
      <c r="F20" s="5"/>
      <c r="G20" s="5" t="s">
        <v>46</v>
      </c>
      <c r="H20" s="5" t="s">
        <v>46</v>
      </c>
      <c r="I20" s="5" t="s">
        <v>176</v>
      </c>
      <c r="J20" s="5"/>
      <c r="K20" s="5" t="s">
        <v>177</v>
      </c>
      <c r="L20" s="5" t="n">
        <v>2025</v>
      </c>
      <c r="M20" s="5" t="n">
        <v>2025</v>
      </c>
      <c r="N20" s="5" t="s">
        <v>49</v>
      </c>
      <c r="O20" s="5" t="s">
        <v>178</v>
      </c>
      <c r="P20" s="5" t="s">
        <v>60</v>
      </c>
      <c r="Q20" s="5" t="s">
        <v>179</v>
      </c>
      <c r="R20" s="5" t="s">
        <v>180</v>
      </c>
      <c r="S20" s="5" t="s">
        <v>181</v>
      </c>
      <c r="T20" s="5" t="s">
        <v>182</v>
      </c>
      <c r="U20" s="5"/>
      <c r="V20" s="5" t="s">
        <v>65</v>
      </c>
      <c r="W20" s="5" t="s">
        <v>175</v>
      </c>
      <c r="X20" s="6"/>
      <c r="Y20" s="5" t="s">
        <v>58</v>
      </c>
    </row>
    <row r="21" customFormat="false" ht="90" hidden="false" customHeight="true" outlineLevel="0" collapsed="false">
      <c r="A21" s="5" t="s">
        <v>42</v>
      </c>
      <c r="B21" s="5" t="s">
        <v>43</v>
      </c>
      <c r="C21" s="5" t="s">
        <v>168</v>
      </c>
      <c r="D21" s="5" t="s">
        <v>169</v>
      </c>
      <c r="E21" s="5"/>
      <c r="F21" s="5"/>
      <c r="G21" s="5" t="s">
        <v>46</v>
      </c>
      <c r="H21" s="5" t="s">
        <v>46</v>
      </c>
      <c r="I21" s="5" t="s">
        <v>176</v>
      </c>
      <c r="J21" s="5"/>
      <c r="K21" s="5" t="s">
        <v>177</v>
      </c>
      <c r="L21" s="5" t="n">
        <v>2025</v>
      </c>
      <c r="M21" s="5" t="n">
        <v>2025</v>
      </c>
      <c r="N21" s="5" t="s">
        <v>49</v>
      </c>
      <c r="O21" s="5" t="s">
        <v>183</v>
      </c>
      <c r="P21" s="5" t="s">
        <v>158</v>
      </c>
      <c r="Q21" s="5" t="s">
        <v>184</v>
      </c>
      <c r="R21" s="5" t="s">
        <v>185</v>
      </c>
      <c r="S21" s="5" t="s">
        <v>186</v>
      </c>
      <c r="T21" s="5" t="s">
        <v>187</v>
      </c>
      <c r="U21" s="5"/>
      <c r="V21" s="5" t="s">
        <v>162</v>
      </c>
      <c r="W21" s="5" t="s">
        <v>175</v>
      </c>
      <c r="X21" s="6"/>
      <c r="Y21" s="5" t="s">
        <v>58</v>
      </c>
    </row>
    <row r="22" customFormat="false" ht="90" hidden="false" customHeight="true" outlineLevel="0" collapsed="false">
      <c r="A22" s="5" t="s">
        <v>42</v>
      </c>
      <c r="B22" s="5" t="s">
        <v>43</v>
      </c>
      <c r="C22" s="5" t="s">
        <v>168</v>
      </c>
      <c r="D22" s="5" t="s">
        <v>169</v>
      </c>
      <c r="E22" s="5"/>
      <c r="F22" s="5"/>
      <c r="G22" s="5" t="s">
        <v>46</v>
      </c>
      <c r="H22" s="5" t="s">
        <v>46</v>
      </c>
      <c r="I22" s="5" t="s">
        <v>66</v>
      </c>
      <c r="J22" s="5"/>
      <c r="K22" s="5" t="s">
        <v>67</v>
      </c>
      <c r="L22" s="5" t="n">
        <v>2025</v>
      </c>
      <c r="M22" s="5" t="n">
        <v>2025</v>
      </c>
      <c r="N22" s="5" t="s">
        <v>49</v>
      </c>
      <c r="O22" s="5" t="s">
        <v>188</v>
      </c>
      <c r="P22" s="5" t="s">
        <v>51</v>
      </c>
      <c r="Q22" s="5" t="s">
        <v>189</v>
      </c>
      <c r="R22" s="5" t="s">
        <v>190</v>
      </c>
      <c r="S22" s="5" t="s">
        <v>71</v>
      </c>
      <c r="T22" s="5" t="s">
        <v>191</v>
      </c>
      <c r="U22" s="5" t="s">
        <v>192</v>
      </c>
      <c r="V22" s="5" t="s">
        <v>56</v>
      </c>
      <c r="W22" s="5" t="s">
        <v>175</v>
      </c>
      <c r="X22" s="6"/>
      <c r="Y22" s="5" t="s">
        <v>58</v>
      </c>
    </row>
    <row r="23" customFormat="false" ht="90" hidden="false" customHeight="true" outlineLevel="0" collapsed="false">
      <c r="A23" s="5" t="s">
        <v>42</v>
      </c>
      <c r="B23" s="5" t="s">
        <v>43</v>
      </c>
      <c r="C23" s="5" t="s">
        <v>168</v>
      </c>
      <c r="D23" s="5" t="s">
        <v>169</v>
      </c>
      <c r="E23" s="5"/>
      <c r="F23" s="5"/>
      <c r="G23" s="5" t="s">
        <v>46</v>
      </c>
      <c r="H23" s="5" t="s">
        <v>46</v>
      </c>
      <c r="I23" s="5" t="s">
        <v>84</v>
      </c>
      <c r="J23" s="5"/>
      <c r="K23" s="5" t="s">
        <v>85</v>
      </c>
      <c r="L23" s="5" t="n">
        <v>2025</v>
      </c>
      <c r="M23" s="5" t="n">
        <v>2025</v>
      </c>
      <c r="N23" s="5" t="s">
        <v>49</v>
      </c>
      <c r="O23" s="5" t="s">
        <v>193</v>
      </c>
      <c r="P23" s="5" t="s">
        <v>60</v>
      </c>
      <c r="Q23" s="5" t="s">
        <v>194</v>
      </c>
      <c r="R23" s="5" t="s">
        <v>195</v>
      </c>
      <c r="S23" s="5" t="s">
        <v>196</v>
      </c>
      <c r="T23" s="5" t="s">
        <v>197</v>
      </c>
      <c r="U23" s="5"/>
      <c r="V23" s="5" t="s">
        <v>65</v>
      </c>
      <c r="W23" s="5" t="s">
        <v>175</v>
      </c>
      <c r="X23" s="6"/>
      <c r="Y23" s="5" t="s">
        <v>58</v>
      </c>
    </row>
    <row r="24" customFormat="false" ht="90" hidden="false" customHeight="true" outlineLevel="0" collapsed="false">
      <c r="A24" s="5" t="s">
        <v>42</v>
      </c>
      <c r="B24" s="5" t="s">
        <v>43</v>
      </c>
      <c r="C24" s="5" t="s">
        <v>168</v>
      </c>
      <c r="D24" s="5" t="s">
        <v>169</v>
      </c>
      <c r="E24" s="5"/>
      <c r="F24" s="5"/>
      <c r="G24" s="5" t="s">
        <v>46</v>
      </c>
      <c r="H24" s="5" t="s">
        <v>46</v>
      </c>
      <c r="I24" s="5" t="s">
        <v>176</v>
      </c>
      <c r="J24" s="5"/>
      <c r="K24" s="5" t="s">
        <v>177</v>
      </c>
      <c r="L24" s="5" t="n">
        <v>2025</v>
      </c>
      <c r="M24" s="5" t="n">
        <v>2025</v>
      </c>
      <c r="N24" s="5" t="s">
        <v>49</v>
      </c>
      <c r="O24" s="5" t="s">
        <v>198</v>
      </c>
      <c r="P24" s="5" t="s">
        <v>60</v>
      </c>
      <c r="Q24" s="5" t="s">
        <v>199</v>
      </c>
      <c r="R24" s="5" t="s">
        <v>200</v>
      </c>
      <c r="S24" s="5" t="s">
        <v>201</v>
      </c>
      <c r="T24" s="5" t="s">
        <v>202</v>
      </c>
      <c r="U24" s="5"/>
      <c r="V24" s="5" t="s">
        <v>65</v>
      </c>
      <c r="W24" s="5" t="s">
        <v>175</v>
      </c>
      <c r="X24" s="6"/>
      <c r="Y24" s="5" t="s">
        <v>58</v>
      </c>
    </row>
    <row r="25" customFormat="false" ht="90" hidden="false" customHeight="true" outlineLevel="0" collapsed="false">
      <c r="A25" s="5" t="s">
        <v>42</v>
      </c>
      <c r="B25" s="5" t="s">
        <v>43</v>
      </c>
      <c r="C25" s="5" t="s">
        <v>168</v>
      </c>
      <c r="D25" s="5" t="s">
        <v>169</v>
      </c>
      <c r="E25" s="5"/>
      <c r="F25" s="5"/>
      <c r="G25" s="5" t="s">
        <v>46</v>
      </c>
      <c r="H25" s="5" t="s">
        <v>46</v>
      </c>
      <c r="I25" s="5" t="s">
        <v>203</v>
      </c>
      <c r="J25" s="5"/>
      <c r="K25" s="5" t="s">
        <v>204</v>
      </c>
      <c r="L25" s="5" t="n">
        <v>2023</v>
      </c>
      <c r="M25" s="5" t="n">
        <v>2023</v>
      </c>
      <c r="N25" s="5" t="s">
        <v>49</v>
      </c>
      <c r="O25" s="5" t="s">
        <v>205</v>
      </c>
      <c r="P25" s="5" t="s">
        <v>69</v>
      </c>
      <c r="Q25" s="5" t="s">
        <v>206</v>
      </c>
      <c r="R25" s="5" t="s">
        <v>123</v>
      </c>
      <c r="S25" s="5" t="s">
        <v>121</v>
      </c>
      <c r="T25" s="5" t="s">
        <v>207</v>
      </c>
      <c r="U25" s="5" t="s">
        <v>208</v>
      </c>
      <c r="V25" s="5" t="s">
        <v>75</v>
      </c>
      <c r="W25" s="5" t="s">
        <v>175</v>
      </c>
      <c r="X25" s="6"/>
      <c r="Y25" s="5" t="s">
        <v>58</v>
      </c>
    </row>
    <row r="26" customFormat="false" ht="90" hidden="false" customHeight="true" outlineLevel="0" collapsed="false">
      <c r="A26" s="5" t="s">
        <v>42</v>
      </c>
      <c r="B26" s="5" t="s">
        <v>43</v>
      </c>
      <c r="C26" s="5" t="s">
        <v>168</v>
      </c>
      <c r="D26" s="5" t="s">
        <v>169</v>
      </c>
      <c r="E26" s="5"/>
      <c r="F26" s="5"/>
      <c r="G26" s="5" t="s">
        <v>46</v>
      </c>
      <c r="H26" s="5" t="s">
        <v>46</v>
      </c>
      <c r="I26" s="5" t="s">
        <v>209</v>
      </c>
      <c r="J26" s="5"/>
      <c r="K26" s="5" t="s">
        <v>210</v>
      </c>
      <c r="L26" s="5" t="n">
        <v>2022</v>
      </c>
      <c r="M26" s="5" t="n">
        <v>2022</v>
      </c>
      <c r="N26" s="5" t="s">
        <v>49</v>
      </c>
      <c r="O26" s="5" t="s">
        <v>211</v>
      </c>
      <c r="P26" s="5" t="s">
        <v>60</v>
      </c>
      <c r="Q26" s="5" t="s">
        <v>212</v>
      </c>
      <c r="R26" s="5" t="s">
        <v>213</v>
      </c>
      <c r="S26" s="5" t="s">
        <v>214</v>
      </c>
      <c r="T26" s="5" t="s">
        <v>215</v>
      </c>
      <c r="U26" s="5" t="s">
        <v>216</v>
      </c>
      <c r="V26" s="5" t="s">
        <v>65</v>
      </c>
      <c r="W26" s="5" t="s">
        <v>175</v>
      </c>
      <c r="X26" s="6" t="s">
        <v>217</v>
      </c>
      <c r="Y26" s="5" t="s">
        <v>58</v>
      </c>
    </row>
    <row r="27" customFormat="false" ht="90" hidden="false" customHeight="true" outlineLevel="0" collapsed="false">
      <c r="A27" s="5" t="s">
        <v>42</v>
      </c>
      <c r="B27" s="5" t="s">
        <v>43</v>
      </c>
      <c r="C27" s="5" t="s">
        <v>168</v>
      </c>
      <c r="D27" s="5" t="s">
        <v>169</v>
      </c>
      <c r="E27" s="5"/>
      <c r="F27" s="5"/>
      <c r="G27" s="5" t="s">
        <v>46</v>
      </c>
      <c r="H27" s="5" t="s">
        <v>46</v>
      </c>
      <c r="I27" s="5" t="s">
        <v>218</v>
      </c>
      <c r="J27" s="5"/>
      <c r="K27" s="5" t="s">
        <v>219</v>
      </c>
      <c r="L27" s="5" t="n">
        <v>2020</v>
      </c>
      <c r="M27" s="5" t="n">
        <v>2020</v>
      </c>
      <c r="N27" s="5" t="s">
        <v>49</v>
      </c>
      <c r="O27" s="5" t="s">
        <v>220</v>
      </c>
      <c r="P27" s="5" t="s">
        <v>51</v>
      </c>
      <c r="Q27" s="5" t="s">
        <v>221</v>
      </c>
      <c r="R27" s="5" t="s">
        <v>222</v>
      </c>
      <c r="S27" s="5" t="s">
        <v>129</v>
      </c>
      <c r="T27" s="5" t="s">
        <v>130</v>
      </c>
      <c r="U27" s="5" t="s">
        <v>223</v>
      </c>
      <c r="V27" s="5" t="s">
        <v>56</v>
      </c>
      <c r="W27" s="5" t="s">
        <v>175</v>
      </c>
      <c r="X27" s="6"/>
      <c r="Y27" s="5" t="s">
        <v>58</v>
      </c>
    </row>
    <row r="28" customFormat="false" ht="90" hidden="false" customHeight="true" outlineLevel="0" collapsed="false">
      <c r="A28" s="5" t="s">
        <v>42</v>
      </c>
      <c r="B28" s="5" t="s">
        <v>43</v>
      </c>
      <c r="C28" s="5" t="s">
        <v>168</v>
      </c>
      <c r="D28" s="5" t="s">
        <v>169</v>
      </c>
      <c r="E28" s="5"/>
      <c r="F28" s="5"/>
      <c r="G28" s="5" t="s">
        <v>46</v>
      </c>
      <c r="H28" s="5" t="s">
        <v>46</v>
      </c>
      <c r="I28" s="5" t="s">
        <v>218</v>
      </c>
      <c r="J28" s="5"/>
      <c r="K28" s="5" t="s">
        <v>219</v>
      </c>
      <c r="L28" s="5" t="n">
        <v>2020</v>
      </c>
      <c r="M28" s="5" t="n">
        <v>2020</v>
      </c>
      <c r="N28" s="5" t="s">
        <v>49</v>
      </c>
      <c r="O28" s="5" t="s">
        <v>224</v>
      </c>
      <c r="P28" s="5" t="s">
        <v>69</v>
      </c>
      <c r="Q28" s="5" t="s">
        <v>225</v>
      </c>
      <c r="R28" s="5" t="s">
        <v>226</v>
      </c>
      <c r="S28" s="5" t="s">
        <v>227</v>
      </c>
      <c r="T28" s="5" t="s">
        <v>228</v>
      </c>
      <c r="U28" s="5" t="s">
        <v>229</v>
      </c>
      <c r="V28" s="5" t="s">
        <v>75</v>
      </c>
      <c r="W28" s="5" t="s">
        <v>175</v>
      </c>
      <c r="X28" s="6"/>
      <c r="Y28" s="5" t="s">
        <v>58</v>
      </c>
    </row>
    <row r="29" customFormat="false" ht="90" hidden="false" customHeight="true" outlineLevel="0" collapsed="false">
      <c r="A29" s="5" t="s">
        <v>42</v>
      </c>
      <c r="B29" s="5" t="s">
        <v>43</v>
      </c>
      <c r="C29" s="5" t="s">
        <v>168</v>
      </c>
      <c r="D29" s="5" t="s">
        <v>169</v>
      </c>
      <c r="E29" s="5"/>
      <c r="F29" s="5"/>
      <c r="G29" s="5" t="s">
        <v>46</v>
      </c>
      <c r="H29" s="5" t="s">
        <v>46</v>
      </c>
      <c r="I29" s="5" t="s">
        <v>155</v>
      </c>
      <c r="J29" s="5"/>
      <c r="K29" s="5" t="s">
        <v>156</v>
      </c>
      <c r="L29" s="5" t="n">
        <v>2020</v>
      </c>
      <c r="M29" s="5" t="n">
        <v>2020</v>
      </c>
      <c r="N29" s="5" t="s">
        <v>49</v>
      </c>
      <c r="O29" s="5" t="s">
        <v>230</v>
      </c>
      <c r="P29" s="5" t="s">
        <v>51</v>
      </c>
      <c r="Q29" s="5" t="s">
        <v>231</v>
      </c>
      <c r="R29" s="5" t="s">
        <v>232</v>
      </c>
      <c r="S29" s="5" t="s">
        <v>165</v>
      </c>
      <c r="T29" s="5" t="s">
        <v>233</v>
      </c>
      <c r="U29" s="5" t="s">
        <v>234</v>
      </c>
      <c r="V29" s="5" t="s">
        <v>56</v>
      </c>
      <c r="W29" s="5" t="s">
        <v>175</v>
      </c>
      <c r="X29" s="6"/>
      <c r="Y29" s="5" t="s">
        <v>58</v>
      </c>
    </row>
    <row r="30" customFormat="false" ht="90" hidden="false" customHeight="true" outlineLevel="0" collapsed="false">
      <c r="A30" s="5" t="s">
        <v>42</v>
      </c>
      <c r="B30" s="5" t="s">
        <v>43</v>
      </c>
      <c r="C30" s="5" t="s">
        <v>235</v>
      </c>
      <c r="D30" s="5" t="s">
        <v>236</v>
      </c>
      <c r="E30" s="5"/>
      <c r="F30" s="5"/>
      <c r="G30" s="5" t="s">
        <v>46</v>
      </c>
      <c r="H30" s="5" t="s">
        <v>46</v>
      </c>
      <c r="I30" s="5" t="s">
        <v>176</v>
      </c>
      <c r="J30" s="5"/>
      <c r="K30" s="5" t="s">
        <v>177</v>
      </c>
      <c r="L30" s="5" t="n">
        <v>2025</v>
      </c>
      <c r="M30" s="5" t="n">
        <v>2025</v>
      </c>
      <c r="N30" s="5" t="s">
        <v>49</v>
      </c>
      <c r="O30" s="5" t="s">
        <v>237</v>
      </c>
      <c r="P30" s="5" t="s">
        <v>51</v>
      </c>
      <c r="Q30" s="5" t="s">
        <v>238</v>
      </c>
      <c r="R30" s="5" t="s">
        <v>239</v>
      </c>
      <c r="S30" s="5" t="s">
        <v>240</v>
      </c>
      <c r="T30" s="5" t="s">
        <v>241</v>
      </c>
      <c r="U30" s="5"/>
      <c r="V30" s="5" t="s">
        <v>56</v>
      </c>
      <c r="W30" s="5" t="s">
        <v>242</v>
      </c>
      <c r="X30" s="6"/>
      <c r="Y30" s="5" t="s">
        <v>58</v>
      </c>
    </row>
    <row r="31" customFormat="false" ht="90" hidden="false" customHeight="true" outlineLevel="0" collapsed="false">
      <c r="A31" s="5" t="s">
        <v>42</v>
      </c>
      <c r="B31" s="5" t="s">
        <v>43</v>
      </c>
      <c r="C31" s="5" t="s">
        <v>235</v>
      </c>
      <c r="D31" s="5" t="s">
        <v>236</v>
      </c>
      <c r="E31" s="5"/>
      <c r="F31" s="5"/>
      <c r="G31" s="5" t="s">
        <v>46</v>
      </c>
      <c r="H31" s="5" t="s">
        <v>46</v>
      </c>
      <c r="I31" s="5" t="s">
        <v>155</v>
      </c>
      <c r="J31" s="5"/>
      <c r="K31" s="5" t="s">
        <v>156</v>
      </c>
      <c r="L31" s="5" t="n">
        <v>2020</v>
      </c>
      <c r="M31" s="5" t="n">
        <v>2020</v>
      </c>
      <c r="N31" s="5" t="s">
        <v>49</v>
      </c>
      <c r="O31" s="5" t="s">
        <v>243</v>
      </c>
      <c r="P31" s="5" t="s">
        <v>98</v>
      </c>
      <c r="Q31" s="5" t="s">
        <v>244</v>
      </c>
      <c r="R31" s="5" t="s">
        <v>245</v>
      </c>
      <c r="S31" s="5" t="s">
        <v>246</v>
      </c>
      <c r="T31" s="5" t="s">
        <v>247</v>
      </c>
      <c r="U31" s="5" t="s">
        <v>248</v>
      </c>
      <c r="V31" s="5" t="s">
        <v>104</v>
      </c>
      <c r="W31" s="5" t="s">
        <v>242</v>
      </c>
      <c r="X31" s="6"/>
      <c r="Y31" s="5" t="s">
        <v>58</v>
      </c>
    </row>
    <row r="32" customFormat="false" ht="90" hidden="false" customHeight="true" outlineLevel="0" collapsed="false">
      <c r="A32" s="5" t="s">
        <v>42</v>
      </c>
      <c r="B32" s="5" t="s">
        <v>43</v>
      </c>
      <c r="C32" s="5" t="s">
        <v>235</v>
      </c>
      <c r="D32" s="5" t="s">
        <v>236</v>
      </c>
      <c r="E32" s="5"/>
      <c r="F32" s="5"/>
      <c r="G32" s="5" t="s">
        <v>46</v>
      </c>
      <c r="H32" s="5" t="s">
        <v>46</v>
      </c>
      <c r="I32" s="5" t="s">
        <v>249</v>
      </c>
      <c r="J32" s="5"/>
      <c r="K32" s="5" t="s">
        <v>250</v>
      </c>
      <c r="L32" s="5" t="n">
        <v>2020</v>
      </c>
      <c r="M32" s="5" t="n">
        <v>2020</v>
      </c>
      <c r="N32" s="5" t="s">
        <v>49</v>
      </c>
      <c r="O32" s="5" t="s">
        <v>251</v>
      </c>
      <c r="P32" s="5" t="s">
        <v>51</v>
      </c>
      <c r="Q32" s="5" t="s">
        <v>252</v>
      </c>
      <c r="R32" s="5" t="s">
        <v>253</v>
      </c>
      <c r="S32" s="5" t="s">
        <v>254</v>
      </c>
      <c r="T32" s="5" t="s">
        <v>255</v>
      </c>
      <c r="U32" s="5" t="s">
        <v>256</v>
      </c>
      <c r="V32" s="5" t="s">
        <v>56</v>
      </c>
      <c r="W32" s="5" t="s">
        <v>242</v>
      </c>
      <c r="X32" s="6" t="s">
        <v>257</v>
      </c>
      <c r="Y32" s="5" t="s">
        <v>58</v>
      </c>
    </row>
    <row r="33" customFormat="false" ht="90" hidden="false" customHeight="true" outlineLevel="0" collapsed="false">
      <c r="A33" s="5" t="s">
        <v>42</v>
      </c>
      <c r="B33" s="5" t="s">
        <v>43</v>
      </c>
      <c r="C33" s="5" t="s">
        <v>235</v>
      </c>
      <c r="D33" s="5" t="s">
        <v>236</v>
      </c>
      <c r="E33" s="5"/>
      <c r="F33" s="5"/>
      <c r="G33" s="5" t="s">
        <v>46</v>
      </c>
      <c r="H33" s="5" t="s">
        <v>46</v>
      </c>
      <c r="I33" s="5" t="s">
        <v>209</v>
      </c>
      <c r="J33" s="5"/>
      <c r="K33" s="5" t="s">
        <v>258</v>
      </c>
      <c r="L33" s="5" t="n">
        <v>2019</v>
      </c>
      <c r="M33" s="5" t="n">
        <v>2019</v>
      </c>
      <c r="N33" s="5" t="s">
        <v>49</v>
      </c>
      <c r="O33" s="5" t="s">
        <v>259</v>
      </c>
      <c r="P33" s="5" t="s">
        <v>51</v>
      </c>
      <c r="Q33" s="5" t="s">
        <v>160</v>
      </c>
      <c r="R33" s="5" t="s">
        <v>130</v>
      </c>
      <c r="S33" s="5" t="s">
        <v>131</v>
      </c>
      <c r="T33" s="5" t="s">
        <v>161</v>
      </c>
      <c r="U33" s="5" t="s">
        <v>260</v>
      </c>
      <c r="V33" s="5" t="s">
        <v>56</v>
      </c>
      <c r="W33" s="5" t="s">
        <v>242</v>
      </c>
      <c r="X33" s="6"/>
      <c r="Y33" s="5" t="s">
        <v>58</v>
      </c>
    </row>
    <row r="34" customFormat="false" ht="90" hidden="false" customHeight="true" outlineLevel="0" collapsed="false">
      <c r="A34" s="5" t="s">
        <v>42</v>
      </c>
      <c r="B34" s="5" t="s">
        <v>43</v>
      </c>
      <c r="C34" s="5" t="s">
        <v>235</v>
      </c>
      <c r="D34" s="5" t="s">
        <v>236</v>
      </c>
      <c r="E34" s="5"/>
      <c r="F34" s="5"/>
      <c r="G34" s="5" t="s">
        <v>46</v>
      </c>
      <c r="H34" s="5" t="s">
        <v>46</v>
      </c>
      <c r="I34" s="5" t="s">
        <v>249</v>
      </c>
      <c r="J34" s="5"/>
      <c r="K34" s="5" t="s">
        <v>261</v>
      </c>
      <c r="L34" s="5" t="n">
        <v>2019</v>
      </c>
      <c r="M34" s="5" t="n">
        <v>2019</v>
      </c>
      <c r="N34" s="5" t="s">
        <v>49</v>
      </c>
      <c r="O34" s="5" t="s">
        <v>262</v>
      </c>
      <c r="P34" s="5" t="s">
        <v>158</v>
      </c>
      <c r="Q34" s="5" t="s">
        <v>131</v>
      </c>
      <c r="R34" s="5" t="s">
        <v>129</v>
      </c>
      <c r="S34" s="5" t="s">
        <v>263</v>
      </c>
      <c r="T34" s="5" t="s">
        <v>264</v>
      </c>
      <c r="U34" s="5" t="s">
        <v>130</v>
      </c>
      <c r="V34" s="5" t="s">
        <v>162</v>
      </c>
      <c r="W34" s="5" t="s">
        <v>242</v>
      </c>
      <c r="X34" s="6"/>
      <c r="Y34" s="5" t="s">
        <v>58</v>
      </c>
    </row>
    <row r="35" customFormat="false" ht="90" hidden="false" customHeight="true" outlineLevel="0" collapsed="false">
      <c r="A35" s="5" t="s">
        <v>42</v>
      </c>
      <c r="B35" s="5" t="s">
        <v>43</v>
      </c>
      <c r="C35" s="5" t="s">
        <v>265</v>
      </c>
      <c r="D35" s="5" t="s">
        <v>266</v>
      </c>
      <c r="E35" s="5"/>
      <c r="F35" s="5"/>
      <c r="G35" s="5" t="s">
        <v>46</v>
      </c>
      <c r="H35" s="5" t="s">
        <v>46</v>
      </c>
      <c r="I35" s="5" t="s">
        <v>47</v>
      </c>
      <c r="J35" s="5"/>
      <c r="K35" s="5" t="s">
        <v>48</v>
      </c>
      <c r="L35" s="5" t="n">
        <v>2026</v>
      </c>
      <c r="M35" s="5" t="n">
        <v>2026</v>
      </c>
      <c r="N35" s="5" t="s">
        <v>49</v>
      </c>
      <c r="O35" s="5" t="s">
        <v>267</v>
      </c>
      <c r="P35" s="5" t="s">
        <v>60</v>
      </c>
      <c r="Q35" s="5" t="s">
        <v>268</v>
      </c>
      <c r="R35" s="5" t="s">
        <v>269</v>
      </c>
      <c r="S35" s="5" t="s">
        <v>270</v>
      </c>
      <c r="T35" s="5" t="s">
        <v>271</v>
      </c>
      <c r="U35" s="5"/>
      <c r="V35" s="5" t="s">
        <v>65</v>
      </c>
      <c r="W35" s="5" t="s">
        <v>272</v>
      </c>
      <c r="X35" s="6"/>
      <c r="Y35" s="5" t="s">
        <v>58</v>
      </c>
    </row>
    <row r="36" customFormat="false" ht="90" hidden="false" customHeight="true" outlineLevel="0" collapsed="false">
      <c r="A36" s="5" t="s">
        <v>42</v>
      </c>
      <c r="B36" s="5" t="s">
        <v>43</v>
      </c>
      <c r="C36" s="5" t="s">
        <v>265</v>
      </c>
      <c r="D36" s="5" t="s">
        <v>266</v>
      </c>
      <c r="E36" s="5"/>
      <c r="F36" s="5"/>
      <c r="G36" s="5" t="s">
        <v>46</v>
      </c>
      <c r="H36" s="5" t="s">
        <v>46</v>
      </c>
      <c r="I36" s="5" t="s">
        <v>66</v>
      </c>
      <c r="J36" s="5"/>
      <c r="K36" s="5" t="s">
        <v>67</v>
      </c>
      <c r="L36" s="5" t="n">
        <v>2025</v>
      </c>
      <c r="M36" s="5" t="n">
        <v>2025</v>
      </c>
      <c r="N36" s="5" t="s">
        <v>49</v>
      </c>
      <c r="O36" s="5" t="s">
        <v>273</v>
      </c>
      <c r="P36" s="5" t="s">
        <v>158</v>
      </c>
      <c r="Q36" s="5" t="s">
        <v>274</v>
      </c>
      <c r="R36" s="5" t="s">
        <v>275</v>
      </c>
      <c r="S36" s="5" t="s">
        <v>276</v>
      </c>
      <c r="T36" s="5" t="s">
        <v>277</v>
      </c>
      <c r="U36" s="5" t="s">
        <v>278</v>
      </c>
      <c r="V36" s="5" t="s">
        <v>162</v>
      </c>
      <c r="W36" s="5" t="s">
        <v>272</v>
      </c>
      <c r="X36" s="6"/>
      <c r="Y36" s="5" t="s">
        <v>58</v>
      </c>
    </row>
    <row r="37" customFormat="false" ht="90" hidden="false" customHeight="true" outlineLevel="0" collapsed="false">
      <c r="A37" s="5" t="s">
        <v>42</v>
      </c>
      <c r="B37" s="5" t="s">
        <v>43</v>
      </c>
      <c r="C37" s="5" t="s">
        <v>265</v>
      </c>
      <c r="D37" s="5" t="s">
        <v>266</v>
      </c>
      <c r="E37" s="5"/>
      <c r="F37" s="5"/>
      <c r="G37" s="5" t="s">
        <v>46</v>
      </c>
      <c r="H37" s="5" t="s">
        <v>46</v>
      </c>
      <c r="I37" s="5" t="s">
        <v>176</v>
      </c>
      <c r="J37" s="5"/>
      <c r="K37" s="5" t="s">
        <v>177</v>
      </c>
      <c r="L37" s="5" t="n">
        <v>2025</v>
      </c>
      <c r="M37" s="5" t="n">
        <v>2025</v>
      </c>
      <c r="N37" s="5" t="s">
        <v>49</v>
      </c>
      <c r="O37" s="5" t="s">
        <v>279</v>
      </c>
      <c r="P37" s="5" t="s">
        <v>158</v>
      </c>
      <c r="Q37" s="5" t="s">
        <v>274</v>
      </c>
      <c r="R37" s="5" t="s">
        <v>280</v>
      </c>
      <c r="S37" s="5" t="s">
        <v>281</v>
      </c>
      <c r="T37" s="5" t="s">
        <v>282</v>
      </c>
      <c r="U37" s="5"/>
      <c r="V37" s="5" t="s">
        <v>162</v>
      </c>
      <c r="W37" s="5" t="s">
        <v>272</v>
      </c>
      <c r="X37" s="6"/>
      <c r="Y37" s="5" t="s">
        <v>58</v>
      </c>
    </row>
    <row r="38" customFormat="false" ht="90" hidden="false" customHeight="true" outlineLevel="0" collapsed="false">
      <c r="A38" s="5" t="s">
        <v>42</v>
      </c>
      <c r="B38" s="5" t="s">
        <v>43</v>
      </c>
      <c r="C38" s="5" t="s">
        <v>265</v>
      </c>
      <c r="D38" s="5" t="s">
        <v>266</v>
      </c>
      <c r="E38" s="5"/>
      <c r="F38" s="5"/>
      <c r="G38" s="5" t="s">
        <v>46</v>
      </c>
      <c r="H38" s="5" t="s">
        <v>46</v>
      </c>
      <c r="I38" s="5" t="s">
        <v>283</v>
      </c>
      <c r="J38" s="5"/>
      <c r="K38" s="5" t="s">
        <v>284</v>
      </c>
      <c r="L38" s="5" t="n">
        <v>2024</v>
      </c>
      <c r="M38" s="5" t="n">
        <v>2024</v>
      </c>
      <c r="N38" s="5" t="s">
        <v>49</v>
      </c>
      <c r="O38" s="5" t="s">
        <v>285</v>
      </c>
      <c r="P38" s="5" t="s">
        <v>60</v>
      </c>
      <c r="Q38" s="5" t="s">
        <v>286</v>
      </c>
      <c r="R38" s="5" t="s">
        <v>287</v>
      </c>
      <c r="S38" s="5" t="s">
        <v>288</v>
      </c>
      <c r="T38" s="5" t="s">
        <v>289</v>
      </c>
      <c r="U38" s="5" t="s">
        <v>290</v>
      </c>
      <c r="V38" s="5" t="s">
        <v>65</v>
      </c>
      <c r="W38" s="5" t="s">
        <v>272</v>
      </c>
      <c r="X38" s="6"/>
      <c r="Y38" s="5" t="s">
        <v>58</v>
      </c>
    </row>
    <row r="39" customFormat="false" ht="90" hidden="false" customHeight="true" outlineLevel="0" collapsed="false">
      <c r="A39" s="5" t="s">
        <v>42</v>
      </c>
      <c r="B39" s="5" t="s">
        <v>43</v>
      </c>
      <c r="C39" s="5" t="s">
        <v>265</v>
      </c>
      <c r="D39" s="5" t="s">
        <v>266</v>
      </c>
      <c r="E39" s="5"/>
      <c r="F39" s="5"/>
      <c r="G39" s="5" t="s">
        <v>46</v>
      </c>
      <c r="H39" s="5" t="s">
        <v>46</v>
      </c>
      <c r="I39" s="5" t="s">
        <v>135</v>
      </c>
      <c r="J39" s="5"/>
      <c r="K39" s="5" t="s">
        <v>136</v>
      </c>
      <c r="L39" s="5" t="n">
        <v>2024</v>
      </c>
      <c r="M39" s="5" t="n">
        <v>2024</v>
      </c>
      <c r="N39" s="5" t="s">
        <v>49</v>
      </c>
      <c r="O39" s="5" t="s">
        <v>291</v>
      </c>
      <c r="P39" s="5" t="s">
        <v>51</v>
      </c>
      <c r="Q39" s="5" t="s">
        <v>292</v>
      </c>
      <c r="R39" s="5" t="s">
        <v>293</v>
      </c>
      <c r="S39" s="5" t="s">
        <v>294</v>
      </c>
      <c r="T39" s="5" t="s">
        <v>295</v>
      </c>
      <c r="U39" s="5" t="s">
        <v>296</v>
      </c>
      <c r="V39" s="5" t="s">
        <v>56</v>
      </c>
      <c r="W39" s="5" t="s">
        <v>272</v>
      </c>
      <c r="X39" s="6"/>
      <c r="Y39" s="5" t="s">
        <v>58</v>
      </c>
    </row>
    <row r="40" customFormat="false" ht="90" hidden="false" customHeight="true" outlineLevel="0" collapsed="false">
      <c r="A40" s="5" t="s">
        <v>42</v>
      </c>
      <c r="B40" s="5" t="s">
        <v>43</v>
      </c>
      <c r="C40" s="5" t="s">
        <v>265</v>
      </c>
      <c r="D40" s="5" t="s">
        <v>266</v>
      </c>
      <c r="E40" s="5"/>
      <c r="F40" s="5"/>
      <c r="G40" s="5" t="s">
        <v>46</v>
      </c>
      <c r="H40" s="5" t="s">
        <v>46</v>
      </c>
      <c r="I40" s="5" t="s">
        <v>147</v>
      </c>
      <c r="J40" s="5"/>
      <c r="K40" s="5" t="s">
        <v>148</v>
      </c>
      <c r="L40" s="5" t="n">
        <v>2022</v>
      </c>
      <c r="M40" s="5" t="n">
        <v>2022</v>
      </c>
      <c r="N40" s="5" t="s">
        <v>49</v>
      </c>
      <c r="O40" s="5" t="s">
        <v>297</v>
      </c>
      <c r="P40" s="5" t="s">
        <v>98</v>
      </c>
      <c r="Q40" s="5" t="s">
        <v>298</v>
      </c>
      <c r="R40" s="5" t="s">
        <v>299</v>
      </c>
      <c r="S40" s="5" t="s">
        <v>300</v>
      </c>
      <c r="T40" s="5" t="s">
        <v>301</v>
      </c>
      <c r="U40" s="5" t="s">
        <v>302</v>
      </c>
      <c r="V40" s="5" t="s">
        <v>104</v>
      </c>
      <c r="W40" s="5" t="s">
        <v>272</v>
      </c>
      <c r="X40" s="6"/>
      <c r="Y40" s="5" t="s">
        <v>58</v>
      </c>
    </row>
    <row r="41" customFormat="false" ht="90" hidden="false" customHeight="true" outlineLevel="0" collapsed="false">
      <c r="A41" s="5" t="s">
        <v>42</v>
      </c>
      <c r="B41" s="5" t="s">
        <v>43</v>
      </c>
      <c r="C41" s="5" t="s">
        <v>265</v>
      </c>
      <c r="D41" s="5" t="s">
        <v>266</v>
      </c>
      <c r="E41" s="5"/>
      <c r="F41" s="5"/>
      <c r="G41" s="5" t="s">
        <v>46</v>
      </c>
      <c r="H41" s="5" t="s">
        <v>46</v>
      </c>
      <c r="I41" s="5" t="s">
        <v>209</v>
      </c>
      <c r="J41" s="5"/>
      <c r="K41" s="5" t="s">
        <v>210</v>
      </c>
      <c r="L41" s="5" t="n">
        <v>2022</v>
      </c>
      <c r="M41" s="5" t="n">
        <v>2022</v>
      </c>
      <c r="N41" s="5" t="s">
        <v>49</v>
      </c>
      <c r="O41" s="5" t="s">
        <v>303</v>
      </c>
      <c r="P41" s="5" t="s">
        <v>69</v>
      </c>
      <c r="Q41" s="5" t="s">
        <v>223</v>
      </c>
      <c r="R41" s="5" t="s">
        <v>131</v>
      </c>
      <c r="S41" s="5" t="s">
        <v>304</v>
      </c>
      <c r="T41" s="5" t="s">
        <v>159</v>
      </c>
      <c r="U41" s="5" t="s">
        <v>221</v>
      </c>
      <c r="V41" s="5" t="s">
        <v>75</v>
      </c>
      <c r="W41" s="5" t="s">
        <v>272</v>
      </c>
      <c r="X41" s="6"/>
      <c r="Y41" s="5" t="s">
        <v>58</v>
      </c>
    </row>
    <row r="42" customFormat="false" ht="90" hidden="false" customHeight="true" outlineLevel="0" collapsed="false">
      <c r="A42" s="5" t="s">
        <v>42</v>
      </c>
      <c r="B42" s="5" t="s">
        <v>43</v>
      </c>
      <c r="C42" s="5" t="s">
        <v>265</v>
      </c>
      <c r="D42" s="5" t="s">
        <v>266</v>
      </c>
      <c r="E42" s="5"/>
      <c r="F42" s="5"/>
      <c r="G42" s="5" t="s">
        <v>46</v>
      </c>
      <c r="H42" s="5" t="s">
        <v>46</v>
      </c>
      <c r="I42" s="5" t="s">
        <v>155</v>
      </c>
      <c r="J42" s="5"/>
      <c r="K42" s="5" t="s">
        <v>156</v>
      </c>
      <c r="L42" s="5" t="n">
        <v>2020</v>
      </c>
      <c r="M42" s="5" t="n">
        <v>2020</v>
      </c>
      <c r="N42" s="5" t="s">
        <v>49</v>
      </c>
      <c r="O42" s="5" t="s">
        <v>305</v>
      </c>
      <c r="P42" s="5" t="s">
        <v>158</v>
      </c>
      <c r="Q42" s="5" t="s">
        <v>306</v>
      </c>
      <c r="R42" s="5" t="s">
        <v>307</v>
      </c>
      <c r="S42" s="5" t="s">
        <v>308</v>
      </c>
      <c r="T42" s="5" t="s">
        <v>309</v>
      </c>
      <c r="U42" s="5" t="s">
        <v>310</v>
      </c>
      <c r="V42" s="5" t="s">
        <v>162</v>
      </c>
      <c r="W42" s="5" t="s">
        <v>272</v>
      </c>
      <c r="X42" s="6"/>
      <c r="Y42" s="5" t="s">
        <v>58</v>
      </c>
    </row>
    <row r="43" customFormat="false" ht="90" hidden="false" customHeight="true" outlineLevel="0" collapsed="false">
      <c r="A43" s="5" t="s">
        <v>42</v>
      </c>
      <c r="B43" s="5" t="s">
        <v>43</v>
      </c>
      <c r="C43" s="5" t="s">
        <v>265</v>
      </c>
      <c r="D43" s="5" t="s">
        <v>266</v>
      </c>
      <c r="E43" s="5"/>
      <c r="F43" s="5"/>
      <c r="G43" s="5" t="s">
        <v>46</v>
      </c>
      <c r="H43" s="5" t="s">
        <v>46</v>
      </c>
      <c r="I43" s="5" t="s">
        <v>218</v>
      </c>
      <c r="J43" s="5"/>
      <c r="K43" s="5" t="s">
        <v>219</v>
      </c>
      <c r="L43" s="5" t="n">
        <v>2020</v>
      </c>
      <c r="M43" s="5" t="n">
        <v>2020</v>
      </c>
      <c r="N43" s="5" t="s">
        <v>49</v>
      </c>
      <c r="O43" s="5" t="s">
        <v>311</v>
      </c>
      <c r="P43" s="5" t="s">
        <v>98</v>
      </c>
      <c r="Q43" s="5" t="s">
        <v>312</v>
      </c>
      <c r="R43" s="5" t="s">
        <v>313</v>
      </c>
      <c r="S43" s="5" t="s">
        <v>314</v>
      </c>
      <c r="T43" s="5" t="s">
        <v>315</v>
      </c>
      <c r="U43" s="5" t="s">
        <v>316</v>
      </c>
      <c r="V43" s="5" t="s">
        <v>104</v>
      </c>
      <c r="W43" s="5" t="s">
        <v>272</v>
      </c>
      <c r="X43" s="6" t="s">
        <v>317</v>
      </c>
      <c r="Y43" s="5" t="s">
        <v>58</v>
      </c>
    </row>
    <row r="44" customFormat="false" ht="90" hidden="false" customHeight="true" outlineLevel="0" collapsed="false">
      <c r="A44" s="5" t="s">
        <v>42</v>
      </c>
      <c r="B44" s="5" t="s">
        <v>43</v>
      </c>
      <c r="C44" s="5" t="s">
        <v>265</v>
      </c>
      <c r="D44" s="5" t="s">
        <v>266</v>
      </c>
      <c r="E44" s="5"/>
      <c r="F44" s="5"/>
      <c r="G44" s="5" t="s">
        <v>46</v>
      </c>
      <c r="H44" s="5" t="s">
        <v>46</v>
      </c>
      <c r="I44" s="5" t="s">
        <v>249</v>
      </c>
      <c r="J44" s="5"/>
      <c r="K44" s="5" t="s">
        <v>261</v>
      </c>
      <c r="L44" s="5" t="n">
        <v>2019</v>
      </c>
      <c r="M44" s="5" t="n">
        <v>2019</v>
      </c>
      <c r="N44" s="5" t="s">
        <v>49</v>
      </c>
      <c r="O44" s="5" t="s">
        <v>318</v>
      </c>
      <c r="P44" s="5" t="s">
        <v>60</v>
      </c>
      <c r="Q44" s="5" t="s">
        <v>319</v>
      </c>
      <c r="R44" s="5" t="s">
        <v>320</v>
      </c>
      <c r="S44" s="5" t="s">
        <v>321</v>
      </c>
      <c r="T44" s="5" t="s">
        <v>322</v>
      </c>
      <c r="U44" s="5" t="s">
        <v>323</v>
      </c>
      <c r="V44" s="5" t="s">
        <v>65</v>
      </c>
      <c r="W44" s="5" t="s">
        <v>272</v>
      </c>
      <c r="X44" s="6"/>
      <c r="Y44" s="5" t="s">
        <v>58</v>
      </c>
    </row>
    <row r="45" customFormat="false" ht="90" hidden="false" customHeight="true" outlineLevel="0" collapsed="false">
      <c r="A45" s="5" t="s">
        <v>42</v>
      </c>
      <c r="B45" s="5" t="s">
        <v>43</v>
      </c>
      <c r="C45" s="5" t="s">
        <v>324</v>
      </c>
      <c r="D45" s="5" t="s">
        <v>325</v>
      </c>
      <c r="E45" s="5"/>
      <c r="F45" s="5"/>
      <c r="G45" s="5" t="s">
        <v>46</v>
      </c>
      <c r="H45" s="5" t="s">
        <v>46</v>
      </c>
      <c r="I45" s="5" t="s">
        <v>47</v>
      </c>
      <c r="J45" s="5"/>
      <c r="K45" s="5" t="s">
        <v>48</v>
      </c>
      <c r="L45" s="5" t="n">
        <v>2026</v>
      </c>
      <c r="M45" s="5" t="n">
        <v>2026</v>
      </c>
      <c r="N45" s="5" t="s">
        <v>49</v>
      </c>
      <c r="O45" s="5" t="s">
        <v>326</v>
      </c>
      <c r="P45" s="5" t="s">
        <v>51</v>
      </c>
      <c r="Q45" s="5" t="s">
        <v>327</v>
      </c>
      <c r="R45" s="5" t="s">
        <v>328</v>
      </c>
      <c r="S45" s="5" t="s">
        <v>329</v>
      </c>
      <c r="T45" s="5" t="s">
        <v>330</v>
      </c>
      <c r="U45" s="5"/>
      <c r="V45" s="5" t="s">
        <v>56</v>
      </c>
      <c r="W45" s="5" t="s">
        <v>331</v>
      </c>
      <c r="X45" s="6"/>
      <c r="Y45" s="5" t="s">
        <v>58</v>
      </c>
    </row>
    <row r="46" customFormat="false" ht="90" hidden="false" customHeight="true" outlineLevel="0" collapsed="false">
      <c r="A46" s="5" t="s">
        <v>42</v>
      </c>
      <c r="B46" s="5" t="s">
        <v>43</v>
      </c>
      <c r="C46" s="5" t="s">
        <v>324</v>
      </c>
      <c r="D46" s="5" t="s">
        <v>325</v>
      </c>
      <c r="E46" s="5"/>
      <c r="F46" s="5"/>
      <c r="G46" s="5" t="s">
        <v>46</v>
      </c>
      <c r="H46" s="5" t="s">
        <v>46</v>
      </c>
      <c r="I46" s="5" t="s">
        <v>76</v>
      </c>
      <c r="J46" s="5"/>
      <c r="K46" s="5" t="s">
        <v>77</v>
      </c>
      <c r="L46" s="5" t="n">
        <v>2025</v>
      </c>
      <c r="M46" s="5" t="n">
        <v>2025</v>
      </c>
      <c r="N46" s="5" t="s">
        <v>49</v>
      </c>
      <c r="O46" s="5" t="s">
        <v>332</v>
      </c>
      <c r="P46" s="5" t="s">
        <v>51</v>
      </c>
      <c r="Q46" s="5" t="s">
        <v>206</v>
      </c>
      <c r="R46" s="5" t="s">
        <v>123</v>
      </c>
      <c r="S46" s="5" t="s">
        <v>208</v>
      </c>
      <c r="T46" s="5" t="s">
        <v>120</v>
      </c>
      <c r="U46" s="5" t="s">
        <v>119</v>
      </c>
      <c r="V46" s="5" t="s">
        <v>56</v>
      </c>
      <c r="W46" s="5" t="s">
        <v>331</v>
      </c>
      <c r="X46" s="6"/>
      <c r="Y46" s="5" t="s">
        <v>58</v>
      </c>
    </row>
    <row r="47" customFormat="false" ht="90" hidden="false" customHeight="true" outlineLevel="0" collapsed="false">
      <c r="A47" s="5" t="s">
        <v>42</v>
      </c>
      <c r="B47" s="5" t="s">
        <v>43</v>
      </c>
      <c r="C47" s="5" t="s">
        <v>324</v>
      </c>
      <c r="D47" s="5" t="s">
        <v>325</v>
      </c>
      <c r="E47" s="5"/>
      <c r="F47" s="5"/>
      <c r="G47" s="5" t="s">
        <v>46</v>
      </c>
      <c r="H47" s="5" t="s">
        <v>46</v>
      </c>
      <c r="I47" s="5" t="s">
        <v>76</v>
      </c>
      <c r="J47" s="5"/>
      <c r="K47" s="5" t="s">
        <v>77</v>
      </c>
      <c r="L47" s="5" t="n">
        <v>2025</v>
      </c>
      <c r="M47" s="5" t="n">
        <v>2025</v>
      </c>
      <c r="N47" s="5" t="s">
        <v>49</v>
      </c>
      <c r="O47" s="5" t="s">
        <v>333</v>
      </c>
      <c r="P47" s="5" t="s">
        <v>69</v>
      </c>
      <c r="Q47" s="5" t="s">
        <v>334</v>
      </c>
      <c r="R47" s="5" t="s">
        <v>335</v>
      </c>
      <c r="S47" s="5" t="s">
        <v>336</v>
      </c>
      <c r="T47" s="5" t="s">
        <v>337</v>
      </c>
      <c r="U47" s="5" t="s">
        <v>338</v>
      </c>
      <c r="V47" s="5" t="s">
        <v>75</v>
      </c>
      <c r="W47" s="5" t="s">
        <v>331</v>
      </c>
      <c r="X47" s="6"/>
      <c r="Y47" s="5" t="s">
        <v>58</v>
      </c>
    </row>
    <row r="48" customFormat="false" ht="90" hidden="false" customHeight="true" outlineLevel="0" collapsed="false">
      <c r="A48" s="5" t="s">
        <v>42</v>
      </c>
      <c r="B48" s="5" t="s">
        <v>43</v>
      </c>
      <c r="C48" s="5" t="s">
        <v>324</v>
      </c>
      <c r="D48" s="5" t="s">
        <v>325</v>
      </c>
      <c r="E48" s="5"/>
      <c r="F48" s="5"/>
      <c r="G48" s="5" t="s">
        <v>46</v>
      </c>
      <c r="H48" s="5" t="s">
        <v>46</v>
      </c>
      <c r="I48" s="5" t="s">
        <v>66</v>
      </c>
      <c r="J48" s="5"/>
      <c r="K48" s="5" t="s">
        <v>67</v>
      </c>
      <c r="L48" s="5" t="n">
        <v>2025</v>
      </c>
      <c r="M48" s="5" t="n">
        <v>2025</v>
      </c>
      <c r="N48" s="5" t="s">
        <v>49</v>
      </c>
      <c r="O48" s="5" t="s">
        <v>339</v>
      </c>
      <c r="P48" s="5" t="s">
        <v>98</v>
      </c>
      <c r="Q48" s="5" t="s">
        <v>340</v>
      </c>
      <c r="R48" s="5" t="s">
        <v>341</v>
      </c>
      <c r="S48" s="5" t="s">
        <v>342</v>
      </c>
      <c r="T48" s="5" t="s">
        <v>343</v>
      </c>
      <c r="U48" s="5" t="s">
        <v>344</v>
      </c>
      <c r="V48" s="5" t="s">
        <v>104</v>
      </c>
      <c r="W48" s="5" t="s">
        <v>331</v>
      </c>
      <c r="X48" s="6"/>
      <c r="Y48" s="5" t="s">
        <v>58</v>
      </c>
    </row>
    <row r="49" customFormat="false" ht="90" hidden="false" customHeight="true" outlineLevel="0" collapsed="false">
      <c r="A49" s="5" t="s">
        <v>42</v>
      </c>
      <c r="B49" s="5" t="s">
        <v>43</v>
      </c>
      <c r="C49" s="5" t="s">
        <v>324</v>
      </c>
      <c r="D49" s="5" t="s">
        <v>325</v>
      </c>
      <c r="E49" s="5"/>
      <c r="F49" s="5"/>
      <c r="G49" s="5" t="s">
        <v>46</v>
      </c>
      <c r="H49" s="5" t="s">
        <v>46</v>
      </c>
      <c r="I49" s="5" t="s">
        <v>126</v>
      </c>
      <c r="J49" s="5"/>
      <c r="K49" s="5" t="s">
        <v>127</v>
      </c>
      <c r="L49" s="5" t="n">
        <v>2025</v>
      </c>
      <c r="M49" s="5" t="n">
        <v>2025</v>
      </c>
      <c r="N49" s="5" t="s">
        <v>49</v>
      </c>
      <c r="O49" s="5" t="s">
        <v>345</v>
      </c>
      <c r="P49" s="5" t="s">
        <v>98</v>
      </c>
      <c r="Q49" s="5" t="s">
        <v>346</v>
      </c>
      <c r="R49" s="5" t="s">
        <v>347</v>
      </c>
      <c r="S49" s="5" t="s">
        <v>348</v>
      </c>
      <c r="T49" s="5" t="s">
        <v>349</v>
      </c>
      <c r="U49" s="5" t="s">
        <v>350</v>
      </c>
      <c r="V49" s="5" t="s">
        <v>104</v>
      </c>
      <c r="W49" s="5" t="s">
        <v>331</v>
      </c>
      <c r="X49" s="6"/>
      <c r="Y49" s="5" t="s">
        <v>58</v>
      </c>
    </row>
    <row r="50" customFormat="false" ht="90" hidden="false" customHeight="true" outlineLevel="0" collapsed="false">
      <c r="A50" s="5" t="s">
        <v>42</v>
      </c>
      <c r="B50" s="5" t="s">
        <v>43</v>
      </c>
      <c r="C50" s="5" t="s">
        <v>324</v>
      </c>
      <c r="D50" s="5" t="s">
        <v>325</v>
      </c>
      <c r="E50" s="5"/>
      <c r="F50" s="5"/>
      <c r="G50" s="5" t="s">
        <v>46</v>
      </c>
      <c r="H50" s="5" t="s">
        <v>46</v>
      </c>
      <c r="I50" s="5" t="s">
        <v>135</v>
      </c>
      <c r="J50" s="5"/>
      <c r="K50" s="5" t="s">
        <v>136</v>
      </c>
      <c r="L50" s="5" t="n">
        <v>2024</v>
      </c>
      <c r="M50" s="5" t="n">
        <v>2024</v>
      </c>
      <c r="N50" s="5" t="s">
        <v>49</v>
      </c>
      <c r="O50" s="5" t="s">
        <v>351</v>
      </c>
      <c r="P50" s="5" t="s">
        <v>352</v>
      </c>
      <c r="Q50" s="5" t="s">
        <v>353</v>
      </c>
      <c r="R50" s="5" t="s">
        <v>354</v>
      </c>
      <c r="S50" s="5" t="s">
        <v>355</v>
      </c>
      <c r="T50" s="5" t="s">
        <v>356</v>
      </c>
      <c r="U50" s="5" t="s">
        <v>357</v>
      </c>
      <c r="V50" s="5"/>
      <c r="W50" s="5" t="s">
        <v>331</v>
      </c>
      <c r="X50" s="6"/>
      <c r="Y50" s="5" t="s">
        <v>58</v>
      </c>
    </row>
    <row r="51" customFormat="false" ht="90" hidden="false" customHeight="true" outlineLevel="0" collapsed="false">
      <c r="A51" s="5" t="s">
        <v>42</v>
      </c>
      <c r="B51" s="5" t="s">
        <v>43</v>
      </c>
      <c r="C51" s="5" t="s">
        <v>324</v>
      </c>
      <c r="D51" s="5" t="s">
        <v>325</v>
      </c>
      <c r="E51" s="5"/>
      <c r="F51" s="5"/>
      <c r="G51" s="5" t="s">
        <v>46</v>
      </c>
      <c r="H51" s="5" t="s">
        <v>46</v>
      </c>
      <c r="I51" s="5" t="s">
        <v>283</v>
      </c>
      <c r="J51" s="5"/>
      <c r="K51" s="5" t="s">
        <v>284</v>
      </c>
      <c r="L51" s="5" t="n">
        <v>2024</v>
      </c>
      <c r="M51" s="5" t="n">
        <v>2024</v>
      </c>
      <c r="N51" s="5" t="s">
        <v>49</v>
      </c>
      <c r="O51" s="5" t="s">
        <v>358</v>
      </c>
      <c r="P51" s="5" t="s">
        <v>51</v>
      </c>
      <c r="Q51" s="5" t="s">
        <v>206</v>
      </c>
      <c r="R51" s="5" t="s">
        <v>123</v>
      </c>
      <c r="S51" s="5" t="s">
        <v>121</v>
      </c>
      <c r="T51" s="5" t="s">
        <v>122</v>
      </c>
      <c r="U51" s="5" t="s">
        <v>120</v>
      </c>
      <c r="V51" s="5" t="s">
        <v>56</v>
      </c>
      <c r="W51" s="5" t="s">
        <v>331</v>
      </c>
      <c r="X51" s="6"/>
      <c r="Y51" s="5" t="s">
        <v>58</v>
      </c>
    </row>
    <row r="52" customFormat="false" ht="90" hidden="false" customHeight="true" outlineLevel="0" collapsed="false">
      <c r="A52" s="5" t="s">
        <v>42</v>
      </c>
      <c r="B52" s="5" t="s">
        <v>43</v>
      </c>
      <c r="C52" s="5" t="s">
        <v>324</v>
      </c>
      <c r="D52" s="5" t="s">
        <v>325</v>
      </c>
      <c r="E52" s="5"/>
      <c r="F52" s="5"/>
      <c r="G52" s="5" t="s">
        <v>46</v>
      </c>
      <c r="H52" s="5" t="s">
        <v>46</v>
      </c>
      <c r="I52" s="5" t="s">
        <v>283</v>
      </c>
      <c r="J52" s="5"/>
      <c r="K52" s="5" t="s">
        <v>284</v>
      </c>
      <c r="L52" s="5" t="n">
        <v>2024</v>
      </c>
      <c r="M52" s="5" t="n">
        <v>2024</v>
      </c>
      <c r="N52" s="5" t="s">
        <v>49</v>
      </c>
      <c r="O52" s="5" t="s">
        <v>359</v>
      </c>
      <c r="P52" s="5" t="s">
        <v>98</v>
      </c>
      <c r="Q52" s="5" t="s">
        <v>206</v>
      </c>
      <c r="R52" s="5" t="s">
        <v>123</v>
      </c>
      <c r="S52" s="5" t="s">
        <v>119</v>
      </c>
      <c r="T52" s="5" t="s">
        <v>360</v>
      </c>
      <c r="U52" s="5" t="s">
        <v>122</v>
      </c>
      <c r="V52" s="5" t="s">
        <v>104</v>
      </c>
      <c r="W52" s="5" t="s">
        <v>331</v>
      </c>
      <c r="X52" s="6"/>
      <c r="Y52" s="5" t="s">
        <v>58</v>
      </c>
    </row>
    <row r="53" customFormat="false" ht="90" hidden="false" customHeight="true" outlineLevel="0" collapsed="false">
      <c r="A53" s="5" t="s">
        <v>42</v>
      </c>
      <c r="B53" s="5" t="s">
        <v>43</v>
      </c>
      <c r="C53" s="5" t="s">
        <v>324</v>
      </c>
      <c r="D53" s="5" t="s">
        <v>325</v>
      </c>
      <c r="E53" s="5"/>
      <c r="F53" s="5"/>
      <c r="G53" s="5" t="s">
        <v>46</v>
      </c>
      <c r="H53" s="5" t="s">
        <v>46</v>
      </c>
      <c r="I53" s="5" t="s">
        <v>155</v>
      </c>
      <c r="J53" s="5"/>
      <c r="K53" s="5" t="s">
        <v>361</v>
      </c>
      <c r="L53" s="5" t="n">
        <v>2024</v>
      </c>
      <c r="M53" s="5" t="n">
        <v>2024</v>
      </c>
      <c r="N53" s="5" t="s">
        <v>49</v>
      </c>
      <c r="O53" s="5" t="s">
        <v>362</v>
      </c>
      <c r="P53" s="5" t="s">
        <v>158</v>
      </c>
      <c r="Q53" s="5" t="s">
        <v>206</v>
      </c>
      <c r="R53" s="5" t="s">
        <v>123</v>
      </c>
      <c r="S53" s="5" t="s">
        <v>121</v>
      </c>
      <c r="T53" s="5" t="s">
        <v>122</v>
      </c>
      <c r="U53" s="5" t="s">
        <v>360</v>
      </c>
      <c r="V53" s="5" t="s">
        <v>162</v>
      </c>
      <c r="W53" s="5" t="s">
        <v>331</v>
      </c>
      <c r="X53" s="6"/>
      <c r="Y53" s="5" t="s">
        <v>58</v>
      </c>
    </row>
    <row r="54" customFormat="false" ht="90" hidden="false" customHeight="true" outlineLevel="0" collapsed="false">
      <c r="A54" s="5" t="s">
        <v>42</v>
      </c>
      <c r="B54" s="5" t="s">
        <v>43</v>
      </c>
      <c r="C54" s="5" t="s">
        <v>324</v>
      </c>
      <c r="D54" s="5" t="s">
        <v>325</v>
      </c>
      <c r="E54" s="5"/>
      <c r="F54" s="5"/>
      <c r="G54" s="5" t="s">
        <v>46</v>
      </c>
      <c r="H54" s="5" t="s">
        <v>46</v>
      </c>
      <c r="I54" s="5" t="s">
        <v>363</v>
      </c>
      <c r="J54" s="5"/>
      <c r="K54" s="5" t="s">
        <v>364</v>
      </c>
      <c r="L54" s="5" t="n">
        <v>2023</v>
      </c>
      <c r="M54" s="5" t="n">
        <v>2023</v>
      </c>
      <c r="N54" s="5" t="s">
        <v>49</v>
      </c>
      <c r="O54" s="5" t="s">
        <v>365</v>
      </c>
      <c r="P54" s="5" t="s">
        <v>60</v>
      </c>
      <c r="Q54" s="5" t="s">
        <v>366</v>
      </c>
      <c r="R54" s="5" t="s">
        <v>367</v>
      </c>
      <c r="S54" s="5" t="s">
        <v>368</v>
      </c>
      <c r="T54" s="5" t="s">
        <v>369</v>
      </c>
      <c r="U54" s="5" t="s">
        <v>370</v>
      </c>
      <c r="V54" s="5" t="s">
        <v>65</v>
      </c>
      <c r="W54" s="5" t="s">
        <v>331</v>
      </c>
      <c r="X54" s="6"/>
      <c r="Y54" s="5" t="s">
        <v>58</v>
      </c>
    </row>
    <row r="55" customFormat="false" ht="90" hidden="false" customHeight="true" outlineLevel="0" collapsed="false">
      <c r="A55" s="5" t="s">
        <v>42</v>
      </c>
      <c r="B55" s="5" t="s">
        <v>43</v>
      </c>
      <c r="C55" s="5" t="s">
        <v>324</v>
      </c>
      <c r="D55" s="5" t="s">
        <v>325</v>
      </c>
      <c r="E55" s="5"/>
      <c r="F55" s="5"/>
      <c r="G55" s="5" t="s">
        <v>46</v>
      </c>
      <c r="H55" s="5" t="s">
        <v>46</v>
      </c>
      <c r="I55" s="5" t="s">
        <v>363</v>
      </c>
      <c r="J55" s="5"/>
      <c r="K55" s="5" t="s">
        <v>364</v>
      </c>
      <c r="L55" s="5" t="n">
        <v>2023</v>
      </c>
      <c r="M55" s="5" t="n">
        <v>2023</v>
      </c>
      <c r="N55" s="5" t="s">
        <v>49</v>
      </c>
      <c r="O55" s="5" t="s">
        <v>371</v>
      </c>
      <c r="P55" s="5" t="s">
        <v>158</v>
      </c>
      <c r="Q55" s="5" t="s">
        <v>372</v>
      </c>
      <c r="R55" s="5" t="s">
        <v>373</v>
      </c>
      <c r="S55" s="5" t="s">
        <v>374</v>
      </c>
      <c r="T55" s="5" t="s">
        <v>375</v>
      </c>
      <c r="U55" s="5" t="s">
        <v>376</v>
      </c>
      <c r="V55" s="5" t="s">
        <v>162</v>
      </c>
      <c r="W55" s="5" t="s">
        <v>331</v>
      </c>
      <c r="X55" s="6"/>
      <c r="Y55" s="5" t="s">
        <v>58</v>
      </c>
    </row>
    <row r="56" customFormat="false" ht="90" hidden="false" customHeight="true" outlineLevel="0" collapsed="false">
      <c r="A56" s="5" t="s">
        <v>42</v>
      </c>
      <c r="B56" s="5" t="s">
        <v>43</v>
      </c>
      <c r="C56" s="5" t="s">
        <v>324</v>
      </c>
      <c r="D56" s="5" t="s">
        <v>325</v>
      </c>
      <c r="E56" s="5"/>
      <c r="F56" s="5"/>
      <c r="G56" s="5" t="s">
        <v>46</v>
      </c>
      <c r="H56" s="5" t="s">
        <v>46</v>
      </c>
      <c r="I56" s="5" t="s">
        <v>155</v>
      </c>
      <c r="J56" s="5"/>
      <c r="K56" s="5" t="s">
        <v>156</v>
      </c>
      <c r="L56" s="5" t="n">
        <v>2020</v>
      </c>
      <c r="M56" s="5" t="n">
        <v>2020</v>
      </c>
      <c r="N56" s="5" t="s">
        <v>49</v>
      </c>
      <c r="O56" s="5" t="s">
        <v>377</v>
      </c>
      <c r="P56" s="5" t="s">
        <v>69</v>
      </c>
      <c r="Q56" s="5" t="s">
        <v>304</v>
      </c>
      <c r="R56" s="5" t="s">
        <v>378</v>
      </c>
      <c r="S56" s="5" t="s">
        <v>160</v>
      </c>
      <c r="T56" s="5" t="s">
        <v>379</v>
      </c>
      <c r="U56" s="5" t="s">
        <v>132</v>
      </c>
      <c r="V56" s="5" t="s">
        <v>75</v>
      </c>
      <c r="W56" s="5" t="s">
        <v>331</v>
      </c>
      <c r="X56" s="6" t="s">
        <v>380</v>
      </c>
      <c r="Y56" s="5" t="s">
        <v>58</v>
      </c>
    </row>
    <row r="57" customFormat="false" ht="90" hidden="false" customHeight="true" outlineLevel="0" collapsed="false">
      <c r="A57" s="5" t="s">
        <v>42</v>
      </c>
      <c r="B57" s="5" t="s">
        <v>43</v>
      </c>
      <c r="C57" s="5" t="s">
        <v>381</v>
      </c>
      <c r="D57" s="5" t="s">
        <v>382</v>
      </c>
      <c r="E57" s="5"/>
      <c r="F57" s="5"/>
      <c r="G57" s="5" t="s">
        <v>46</v>
      </c>
      <c r="H57" s="5" t="s">
        <v>46</v>
      </c>
      <c r="I57" s="5" t="s">
        <v>47</v>
      </c>
      <c r="J57" s="5"/>
      <c r="K57" s="5" t="s">
        <v>48</v>
      </c>
      <c r="L57" s="5" t="n">
        <v>2026</v>
      </c>
      <c r="M57" s="5" t="n">
        <v>2026</v>
      </c>
      <c r="N57" s="5" t="s">
        <v>49</v>
      </c>
      <c r="O57" s="5" t="s">
        <v>383</v>
      </c>
      <c r="P57" s="5" t="s">
        <v>69</v>
      </c>
      <c r="Q57" s="5" t="s">
        <v>384</v>
      </c>
      <c r="R57" s="5" t="s">
        <v>385</v>
      </c>
      <c r="S57" s="5" t="s">
        <v>386</v>
      </c>
      <c r="T57" s="5" t="s">
        <v>387</v>
      </c>
      <c r="U57" s="5"/>
      <c r="V57" s="5" t="s">
        <v>75</v>
      </c>
      <c r="W57" s="5" t="s">
        <v>388</v>
      </c>
      <c r="X57" s="6"/>
      <c r="Y57" s="5" t="s">
        <v>58</v>
      </c>
    </row>
    <row r="58" customFormat="false" ht="90" hidden="false" customHeight="true" outlineLevel="0" collapsed="false">
      <c r="A58" s="5" t="s">
        <v>42</v>
      </c>
      <c r="B58" s="5" t="s">
        <v>43</v>
      </c>
      <c r="C58" s="5" t="s">
        <v>381</v>
      </c>
      <c r="D58" s="5" t="s">
        <v>382</v>
      </c>
      <c r="E58" s="5"/>
      <c r="F58" s="5"/>
      <c r="G58" s="5" t="s">
        <v>46</v>
      </c>
      <c r="H58" s="5" t="s">
        <v>46</v>
      </c>
      <c r="I58" s="5" t="s">
        <v>47</v>
      </c>
      <c r="J58" s="5"/>
      <c r="K58" s="5" t="s">
        <v>48</v>
      </c>
      <c r="L58" s="5" t="n">
        <v>2026</v>
      </c>
      <c r="M58" s="5" t="n">
        <v>2026</v>
      </c>
      <c r="N58" s="5" t="s">
        <v>49</v>
      </c>
      <c r="O58" s="5" t="s">
        <v>389</v>
      </c>
      <c r="P58" s="5" t="s">
        <v>60</v>
      </c>
      <c r="Q58" s="5" t="s">
        <v>390</v>
      </c>
      <c r="R58" s="5" t="s">
        <v>391</v>
      </c>
      <c r="S58" s="5" t="s">
        <v>392</v>
      </c>
      <c r="T58" s="5" t="s">
        <v>393</v>
      </c>
      <c r="U58" s="5"/>
      <c r="V58" s="5" t="s">
        <v>65</v>
      </c>
      <c r="W58" s="5" t="s">
        <v>388</v>
      </c>
      <c r="X58" s="6"/>
      <c r="Y58" s="5" t="s">
        <v>58</v>
      </c>
    </row>
    <row r="59" customFormat="false" ht="90" hidden="false" customHeight="true" outlineLevel="0" collapsed="false">
      <c r="A59" s="5" t="s">
        <v>42</v>
      </c>
      <c r="B59" s="5" t="s">
        <v>43</v>
      </c>
      <c r="C59" s="5" t="s">
        <v>381</v>
      </c>
      <c r="D59" s="5" t="s">
        <v>382</v>
      </c>
      <c r="E59" s="5"/>
      <c r="F59" s="5"/>
      <c r="G59" s="5" t="s">
        <v>46</v>
      </c>
      <c r="H59" s="5" t="s">
        <v>46</v>
      </c>
      <c r="I59" s="5" t="s">
        <v>66</v>
      </c>
      <c r="J59" s="5"/>
      <c r="K59" s="5" t="s">
        <v>67</v>
      </c>
      <c r="L59" s="5" t="n">
        <v>2025</v>
      </c>
      <c r="M59" s="5" t="n">
        <v>2025</v>
      </c>
      <c r="N59" s="5" t="s">
        <v>49</v>
      </c>
      <c r="O59" s="5" t="s">
        <v>394</v>
      </c>
      <c r="P59" s="5" t="s">
        <v>69</v>
      </c>
      <c r="Q59" s="5" t="s">
        <v>395</v>
      </c>
      <c r="R59" s="5" t="s">
        <v>396</v>
      </c>
      <c r="S59" s="5" t="s">
        <v>397</v>
      </c>
      <c r="T59" s="5" t="s">
        <v>398</v>
      </c>
      <c r="U59" s="5" t="s">
        <v>399</v>
      </c>
      <c r="V59" s="5" t="s">
        <v>75</v>
      </c>
      <c r="W59" s="5" t="s">
        <v>388</v>
      </c>
      <c r="X59" s="6"/>
      <c r="Y59" s="5" t="s">
        <v>58</v>
      </c>
    </row>
    <row r="60" customFormat="false" ht="90" hidden="false" customHeight="true" outlineLevel="0" collapsed="false">
      <c r="A60" s="5" t="s">
        <v>42</v>
      </c>
      <c r="B60" s="5" t="s">
        <v>43</v>
      </c>
      <c r="C60" s="5" t="s">
        <v>381</v>
      </c>
      <c r="D60" s="5" t="s">
        <v>382</v>
      </c>
      <c r="E60" s="5"/>
      <c r="F60" s="5"/>
      <c r="G60" s="5" t="s">
        <v>46</v>
      </c>
      <c r="H60" s="5" t="s">
        <v>46</v>
      </c>
      <c r="I60" s="5" t="s">
        <v>66</v>
      </c>
      <c r="J60" s="5"/>
      <c r="K60" s="5" t="s">
        <v>67</v>
      </c>
      <c r="L60" s="5" t="n">
        <v>2025</v>
      </c>
      <c r="M60" s="5" t="n">
        <v>2025</v>
      </c>
      <c r="N60" s="5" t="s">
        <v>49</v>
      </c>
      <c r="O60" s="5" t="s">
        <v>400</v>
      </c>
      <c r="P60" s="5" t="s">
        <v>158</v>
      </c>
      <c r="Q60" s="5" t="s">
        <v>401</v>
      </c>
      <c r="R60" s="5" t="s">
        <v>402</v>
      </c>
      <c r="S60" s="5" t="s">
        <v>403</v>
      </c>
      <c r="T60" s="5" t="s">
        <v>404</v>
      </c>
      <c r="U60" s="5" t="s">
        <v>405</v>
      </c>
      <c r="V60" s="5" t="s">
        <v>162</v>
      </c>
      <c r="W60" s="5" t="s">
        <v>388</v>
      </c>
      <c r="X60" s="6"/>
      <c r="Y60" s="5" t="s">
        <v>58</v>
      </c>
    </row>
    <row r="61" customFormat="false" ht="90" hidden="false" customHeight="true" outlineLevel="0" collapsed="false">
      <c r="A61" s="5" t="s">
        <v>42</v>
      </c>
      <c r="B61" s="5" t="s">
        <v>43</v>
      </c>
      <c r="C61" s="5" t="s">
        <v>381</v>
      </c>
      <c r="D61" s="5" t="s">
        <v>382</v>
      </c>
      <c r="E61" s="5"/>
      <c r="F61" s="5"/>
      <c r="G61" s="5" t="s">
        <v>46</v>
      </c>
      <c r="H61" s="5" t="s">
        <v>46</v>
      </c>
      <c r="I61" s="5" t="s">
        <v>84</v>
      </c>
      <c r="J61" s="5"/>
      <c r="K61" s="5" t="s">
        <v>85</v>
      </c>
      <c r="L61" s="5" t="n">
        <v>2025</v>
      </c>
      <c r="M61" s="5" t="n">
        <v>2025</v>
      </c>
      <c r="N61" s="5" t="s">
        <v>49</v>
      </c>
      <c r="O61" s="5" t="s">
        <v>406</v>
      </c>
      <c r="P61" s="5" t="s">
        <v>51</v>
      </c>
      <c r="Q61" s="5" t="s">
        <v>407</v>
      </c>
      <c r="R61" s="5" t="s">
        <v>408</v>
      </c>
      <c r="S61" s="5" t="s">
        <v>409</v>
      </c>
      <c r="T61" s="5" t="s">
        <v>410</v>
      </c>
      <c r="U61" s="5"/>
      <c r="V61" s="5" t="s">
        <v>56</v>
      </c>
      <c r="W61" s="5" t="s">
        <v>388</v>
      </c>
      <c r="X61" s="6"/>
      <c r="Y61" s="5" t="s">
        <v>58</v>
      </c>
    </row>
    <row r="62" customFormat="false" ht="90" hidden="false" customHeight="true" outlineLevel="0" collapsed="false">
      <c r="A62" s="5" t="s">
        <v>42</v>
      </c>
      <c r="B62" s="5" t="s">
        <v>43</v>
      </c>
      <c r="C62" s="5" t="s">
        <v>381</v>
      </c>
      <c r="D62" s="5" t="s">
        <v>382</v>
      </c>
      <c r="E62" s="5"/>
      <c r="F62" s="5"/>
      <c r="G62" s="5" t="s">
        <v>46</v>
      </c>
      <c r="H62" s="5" t="s">
        <v>46</v>
      </c>
      <c r="I62" s="5" t="s">
        <v>66</v>
      </c>
      <c r="J62" s="5"/>
      <c r="K62" s="5" t="s">
        <v>67</v>
      </c>
      <c r="L62" s="5" t="n">
        <v>2025</v>
      </c>
      <c r="M62" s="5" t="n">
        <v>2025</v>
      </c>
      <c r="N62" s="5" t="s">
        <v>49</v>
      </c>
      <c r="O62" s="5" t="s">
        <v>411</v>
      </c>
      <c r="P62" s="5" t="s">
        <v>69</v>
      </c>
      <c r="Q62" s="5" t="s">
        <v>412</v>
      </c>
      <c r="R62" s="5" t="s">
        <v>395</v>
      </c>
      <c r="S62" s="5" t="s">
        <v>413</v>
      </c>
      <c r="T62" s="5" t="s">
        <v>399</v>
      </c>
      <c r="U62" s="5" t="s">
        <v>414</v>
      </c>
      <c r="V62" s="5" t="s">
        <v>75</v>
      </c>
      <c r="W62" s="5" t="s">
        <v>388</v>
      </c>
      <c r="X62" s="6"/>
      <c r="Y62" s="5" t="s">
        <v>58</v>
      </c>
    </row>
    <row r="63" customFormat="false" ht="90" hidden="false" customHeight="true" outlineLevel="0" collapsed="false">
      <c r="A63" s="5" t="s">
        <v>42</v>
      </c>
      <c r="B63" s="5" t="s">
        <v>43</v>
      </c>
      <c r="C63" s="5" t="s">
        <v>381</v>
      </c>
      <c r="D63" s="5" t="s">
        <v>382</v>
      </c>
      <c r="E63" s="5"/>
      <c r="F63" s="5"/>
      <c r="G63" s="5" t="s">
        <v>46</v>
      </c>
      <c r="H63" s="5" t="s">
        <v>46</v>
      </c>
      <c r="I63" s="5" t="s">
        <v>126</v>
      </c>
      <c r="J63" s="5"/>
      <c r="K63" s="5" t="s">
        <v>127</v>
      </c>
      <c r="L63" s="5" t="n">
        <v>2025</v>
      </c>
      <c r="M63" s="5" t="n">
        <v>2025</v>
      </c>
      <c r="N63" s="5" t="s">
        <v>49</v>
      </c>
      <c r="O63" s="5" t="s">
        <v>415</v>
      </c>
      <c r="P63" s="5" t="s">
        <v>51</v>
      </c>
      <c r="Q63" s="5" t="s">
        <v>416</v>
      </c>
      <c r="R63" s="5" t="s">
        <v>417</v>
      </c>
      <c r="S63" s="5" t="s">
        <v>418</v>
      </c>
      <c r="T63" s="5" t="s">
        <v>419</v>
      </c>
      <c r="U63" s="5" t="s">
        <v>420</v>
      </c>
      <c r="V63" s="5" t="s">
        <v>56</v>
      </c>
      <c r="W63" s="5" t="s">
        <v>388</v>
      </c>
      <c r="X63" s="6"/>
      <c r="Y63" s="5" t="s">
        <v>58</v>
      </c>
    </row>
    <row r="64" customFormat="false" ht="90" hidden="false" customHeight="true" outlineLevel="0" collapsed="false">
      <c r="A64" s="5" t="s">
        <v>42</v>
      </c>
      <c r="B64" s="5" t="s">
        <v>43</v>
      </c>
      <c r="C64" s="5" t="s">
        <v>381</v>
      </c>
      <c r="D64" s="5" t="s">
        <v>382</v>
      </c>
      <c r="E64" s="5"/>
      <c r="F64" s="5"/>
      <c r="G64" s="5" t="s">
        <v>46</v>
      </c>
      <c r="H64" s="5" t="s">
        <v>46</v>
      </c>
      <c r="I64" s="5" t="s">
        <v>84</v>
      </c>
      <c r="J64" s="5"/>
      <c r="K64" s="5" t="s">
        <v>85</v>
      </c>
      <c r="L64" s="5" t="n">
        <v>2025</v>
      </c>
      <c r="M64" s="5" t="n">
        <v>2025</v>
      </c>
      <c r="N64" s="5" t="s">
        <v>49</v>
      </c>
      <c r="O64" s="5" t="s">
        <v>421</v>
      </c>
      <c r="P64" s="5" t="s">
        <v>51</v>
      </c>
      <c r="Q64" s="5" t="s">
        <v>422</v>
      </c>
      <c r="R64" s="5" t="s">
        <v>423</v>
      </c>
      <c r="S64" s="5" t="s">
        <v>424</v>
      </c>
      <c r="T64" s="5" t="s">
        <v>425</v>
      </c>
      <c r="U64" s="5"/>
      <c r="V64" s="5" t="s">
        <v>56</v>
      </c>
      <c r="W64" s="5" t="s">
        <v>388</v>
      </c>
      <c r="X64" s="6"/>
      <c r="Y64" s="5" t="s">
        <v>58</v>
      </c>
    </row>
    <row r="65" customFormat="false" ht="90" hidden="false" customHeight="true" outlineLevel="0" collapsed="false">
      <c r="A65" s="5" t="s">
        <v>42</v>
      </c>
      <c r="B65" s="5" t="s">
        <v>43</v>
      </c>
      <c r="C65" s="5" t="s">
        <v>381</v>
      </c>
      <c r="D65" s="5" t="s">
        <v>382</v>
      </c>
      <c r="E65" s="5"/>
      <c r="F65" s="5"/>
      <c r="G65" s="5" t="s">
        <v>46</v>
      </c>
      <c r="H65" s="5" t="s">
        <v>46</v>
      </c>
      <c r="I65" s="5" t="s">
        <v>126</v>
      </c>
      <c r="J65" s="5"/>
      <c r="K65" s="5" t="s">
        <v>127</v>
      </c>
      <c r="L65" s="5" t="n">
        <v>2025</v>
      </c>
      <c r="M65" s="5" t="n">
        <v>2025</v>
      </c>
      <c r="N65" s="5" t="s">
        <v>49</v>
      </c>
      <c r="O65" s="5" t="s">
        <v>426</v>
      </c>
      <c r="P65" s="5" t="s">
        <v>158</v>
      </c>
      <c r="Q65" s="5" t="s">
        <v>427</v>
      </c>
      <c r="R65" s="5" t="s">
        <v>428</v>
      </c>
      <c r="S65" s="5" t="s">
        <v>429</v>
      </c>
      <c r="T65" s="5" t="s">
        <v>430</v>
      </c>
      <c r="U65" s="5" t="s">
        <v>431</v>
      </c>
      <c r="V65" s="5" t="s">
        <v>162</v>
      </c>
      <c r="W65" s="5" t="s">
        <v>388</v>
      </c>
      <c r="X65" s="6"/>
      <c r="Y65" s="5" t="s">
        <v>58</v>
      </c>
    </row>
    <row r="66" customFormat="false" ht="90" hidden="false" customHeight="true" outlineLevel="0" collapsed="false">
      <c r="A66" s="5" t="s">
        <v>42</v>
      </c>
      <c r="B66" s="5" t="s">
        <v>43</v>
      </c>
      <c r="C66" s="5" t="s">
        <v>381</v>
      </c>
      <c r="D66" s="5" t="s">
        <v>382</v>
      </c>
      <c r="E66" s="5"/>
      <c r="F66" s="5"/>
      <c r="G66" s="5" t="s">
        <v>46</v>
      </c>
      <c r="H66" s="5" t="s">
        <v>46</v>
      </c>
      <c r="I66" s="5" t="s">
        <v>176</v>
      </c>
      <c r="J66" s="5"/>
      <c r="K66" s="5" t="s">
        <v>177</v>
      </c>
      <c r="L66" s="5" t="n">
        <v>2025</v>
      </c>
      <c r="M66" s="5" t="n">
        <v>2025</v>
      </c>
      <c r="N66" s="5" t="s">
        <v>49</v>
      </c>
      <c r="O66" s="5" t="s">
        <v>432</v>
      </c>
      <c r="P66" s="5" t="s">
        <v>60</v>
      </c>
      <c r="Q66" s="5" t="s">
        <v>433</v>
      </c>
      <c r="R66" s="5" t="s">
        <v>434</v>
      </c>
      <c r="S66" s="5" t="s">
        <v>435</v>
      </c>
      <c r="T66" s="5" t="s">
        <v>436</v>
      </c>
      <c r="U66" s="5"/>
      <c r="V66" s="5" t="s">
        <v>65</v>
      </c>
      <c r="W66" s="5" t="s">
        <v>388</v>
      </c>
      <c r="X66" s="6"/>
      <c r="Y66" s="5" t="s">
        <v>58</v>
      </c>
    </row>
    <row r="67" customFormat="false" ht="90" hidden="false" customHeight="true" outlineLevel="0" collapsed="false">
      <c r="A67" s="5" t="s">
        <v>42</v>
      </c>
      <c r="B67" s="5" t="s">
        <v>43</v>
      </c>
      <c r="C67" s="5" t="s">
        <v>381</v>
      </c>
      <c r="D67" s="5" t="s">
        <v>382</v>
      </c>
      <c r="E67" s="5"/>
      <c r="F67" s="5"/>
      <c r="G67" s="5" t="s">
        <v>46</v>
      </c>
      <c r="H67" s="5" t="s">
        <v>46</v>
      </c>
      <c r="I67" s="5" t="s">
        <v>135</v>
      </c>
      <c r="J67" s="5"/>
      <c r="K67" s="5" t="s">
        <v>136</v>
      </c>
      <c r="L67" s="5" t="n">
        <v>2024</v>
      </c>
      <c r="M67" s="5" t="n">
        <v>2024</v>
      </c>
      <c r="N67" s="5" t="s">
        <v>49</v>
      </c>
      <c r="O67" s="5" t="s">
        <v>437</v>
      </c>
      <c r="P67" s="5" t="s">
        <v>69</v>
      </c>
      <c r="Q67" s="5" t="s">
        <v>438</v>
      </c>
      <c r="R67" s="5" t="s">
        <v>439</v>
      </c>
      <c r="S67" s="5" t="s">
        <v>440</v>
      </c>
      <c r="T67" s="5" t="s">
        <v>441</v>
      </c>
      <c r="U67" s="5" t="s">
        <v>442</v>
      </c>
      <c r="V67" s="5" t="s">
        <v>75</v>
      </c>
      <c r="W67" s="5" t="s">
        <v>388</v>
      </c>
      <c r="X67" s="6"/>
      <c r="Y67" s="5" t="s">
        <v>58</v>
      </c>
    </row>
    <row r="68" customFormat="false" ht="90" hidden="false" customHeight="true" outlineLevel="0" collapsed="false">
      <c r="A68" s="5" t="s">
        <v>42</v>
      </c>
      <c r="B68" s="5" t="s">
        <v>43</v>
      </c>
      <c r="C68" s="5" t="s">
        <v>381</v>
      </c>
      <c r="D68" s="5" t="s">
        <v>382</v>
      </c>
      <c r="E68" s="5"/>
      <c r="F68" s="5"/>
      <c r="G68" s="5" t="s">
        <v>46</v>
      </c>
      <c r="H68" s="5" t="s">
        <v>46</v>
      </c>
      <c r="I68" s="5" t="s">
        <v>363</v>
      </c>
      <c r="J68" s="5"/>
      <c r="K68" s="5" t="s">
        <v>364</v>
      </c>
      <c r="L68" s="5" t="n">
        <v>2023</v>
      </c>
      <c r="M68" s="5" t="n">
        <v>2023</v>
      </c>
      <c r="N68" s="5" t="s">
        <v>49</v>
      </c>
      <c r="O68" s="5" t="s">
        <v>443</v>
      </c>
      <c r="P68" s="5" t="s">
        <v>60</v>
      </c>
      <c r="Q68" s="5" t="s">
        <v>444</v>
      </c>
      <c r="R68" s="5" t="s">
        <v>445</v>
      </c>
      <c r="S68" s="5" t="s">
        <v>446</v>
      </c>
      <c r="T68" s="5" t="s">
        <v>447</v>
      </c>
      <c r="U68" s="5" t="s">
        <v>448</v>
      </c>
      <c r="V68" s="5" t="s">
        <v>65</v>
      </c>
      <c r="W68" s="5" t="s">
        <v>388</v>
      </c>
      <c r="X68" s="6"/>
      <c r="Y68" s="5" t="s">
        <v>58</v>
      </c>
    </row>
    <row r="69" customFormat="false" ht="90" hidden="false" customHeight="true" outlineLevel="0" collapsed="false">
      <c r="A69" s="5" t="s">
        <v>42</v>
      </c>
      <c r="B69" s="5" t="s">
        <v>43</v>
      </c>
      <c r="C69" s="5" t="s">
        <v>381</v>
      </c>
      <c r="D69" s="5" t="s">
        <v>382</v>
      </c>
      <c r="E69" s="5"/>
      <c r="F69" s="5"/>
      <c r="G69" s="5" t="s">
        <v>46</v>
      </c>
      <c r="H69" s="5" t="s">
        <v>46</v>
      </c>
      <c r="I69" s="5" t="s">
        <v>140</v>
      </c>
      <c r="J69" s="5"/>
      <c r="K69" s="5" t="s">
        <v>141</v>
      </c>
      <c r="L69" s="5" t="n">
        <v>2023</v>
      </c>
      <c r="M69" s="5" t="n">
        <v>2023</v>
      </c>
      <c r="N69" s="5" t="s">
        <v>49</v>
      </c>
      <c r="O69" s="5" t="s">
        <v>449</v>
      </c>
      <c r="P69" s="5" t="s">
        <v>51</v>
      </c>
      <c r="Q69" s="5" t="s">
        <v>206</v>
      </c>
      <c r="R69" s="5" t="s">
        <v>123</v>
      </c>
      <c r="S69" s="5" t="s">
        <v>121</v>
      </c>
      <c r="T69" s="5" t="s">
        <v>450</v>
      </c>
      <c r="U69" s="5" t="s">
        <v>451</v>
      </c>
      <c r="V69" s="5" t="s">
        <v>56</v>
      </c>
      <c r="W69" s="5" t="s">
        <v>388</v>
      </c>
      <c r="X69" s="6"/>
      <c r="Y69" s="5" t="s">
        <v>58</v>
      </c>
    </row>
    <row r="70" customFormat="false" ht="90" hidden="false" customHeight="true" outlineLevel="0" collapsed="false">
      <c r="A70" s="5" t="s">
        <v>42</v>
      </c>
      <c r="B70" s="5" t="s">
        <v>43</v>
      </c>
      <c r="C70" s="5" t="s">
        <v>381</v>
      </c>
      <c r="D70" s="5" t="s">
        <v>382</v>
      </c>
      <c r="E70" s="5"/>
      <c r="F70" s="5"/>
      <c r="G70" s="5" t="s">
        <v>46</v>
      </c>
      <c r="H70" s="5" t="s">
        <v>46</v>
      </c>
      <c r="I70" s="5" t="s">
        <v>249</v>
      </c>
      <c r="J70" s="5"/>
      <c r="K70" s="5" t="s">
        <v>250</v>
      </c>
      <c r="L70" s="5" t="n">
        <v>2020</v>
      </c>
      <c r="M70" s="5" t="n">
        <v>2020</v>
      </c>
      <c r="N70" s="5" t="s">
        <v>49</v>
      </c>
      <c r="O70" s="5" t="s">
        <v>452</v>
      </c>
      <c r="P70" s="5" t="s">
        <v>98</v>
      </c>
      <c r="Q70" s="5" t="s">
        <v>453</v>
      </c>
      <c r="R70" s="5" t="s">
        <v>454</v>
      </c>
      <c r="S70" s="5" t="s">
        <v>455</v>
      </c>
      <c r="T70" s="5" t="s">
        <v>456</v>
      </c>
      <c r="U70" s="5" t="s">
        <v>457</v>
      </c>
      <c r="V70" s="5" t="s">
        <v>104</v>
      </c>
      <c r="W70" s="5" t="s">
        <v>388</v>
      </c>
      <c r="X70" s="6"/>
      <c r="Y70" s="5" t="s">
        <v>58</v>
      </c>
    </row>
    <row r="71" customFormat="false" ht="90" hidden="false" customHeight="true" outlineLevel="0" collapsed="false">
      <c r="A71" s="5" t="s">
        <v>42</v>
      </c>
      <c r="B71" s="5" t="s">
        <v>43</v>
      </c>
      <c r="C71" s="5" t="s">
        <v>381</v>
      </c>
      <c r="D71" s="5" t="s">
        <v>382</v>
      </c>
      <c r="E71" s="5"/>
      <c r="F71" s="5"/>
      <c r="G71" s="5" t="s">
        <v>46</v>
      </c>
      <c r="H71" s="5" t="s">
        <v>46</v>
      </c>
      <c r="I71" s="5" t="s">
        <v>218</v>
      </c>
      <c r="J71" s="5"/>
      <c r="K71" s="5" t="s">
        <v>219</v>
      </c>
      <c r="L71" s="5" t="n">
        <v>2020</v>
      </c>
      <c r="M71" s="5" t="n">
        <v>2020</v>
      </c>
      <c r="N71" s="5" t="s">
        <v>49</v>
      </c>
      <c r="O71" s="5" t="s">
        <v>458</v>
      </c>
      <c r="P71" s="5" t="s">
        <v>352</v>
      </c>
      <c r="Q71" s="5" t="s">
        <v>459</v>
      </c>
      <c r="R71" s="5" t="s">
        <v>460</v>
      </c>
      <c r="S71" s="5" t="s">
        <v>461</v>
      </c>
      <c r="T71" s="5" t="s">
        <v>462</v>
      </c>
      <c r="U71" s="5" t="s">
        <v>463</v>
      </c>
      <c r="V71" s="5"/>
      <c r="W71" s="5" t="s">
        <v>388</v>
      </c>
      <c r="X71" s="6"/>
      <c r="Y71" s="5" t="s">
        <v>58</v>
      </c>
    </row>
    <row r="72" customFormat="false" ht="90" hidden="false" customHeight="true" outlineLevel="0" collapsed="false">
      <c r="A72" s="5" t="s">
        <v>42</v>
      </c>
      <c r="B72" s="5" t="s">
        <v>43</v>
      </c>
      <c r="C72" s="5" t="s">
        <v>381</v>
      </c>
      <c r="D72" s="5" t="s">
        <v>382</v>
      </c>
      <c r="E72" s="5"/>
      <c r="F72" s="5"/>
      <c r="G72" s="5" t="s">
        <v>46</v>
      </c>
      <c r="H72" s="5" t="s">
        <v>46</v>
      </c>
      <c r="I72" s="5" t="s">
        <v>218</v>
      </c>
      <c r="J72" s="5"/>
      <c r="K72" s="5" t="s">
        <v>219</v>
      </c>
      <c r="L72" s="5" t="n">
        <v>2020</v>
      </c>
      <c r="M72" s="5" t="n">
        <v>2020</v>
      </c>
      <c r="N72" s="5" t="s">
        <v>49</v>
      </c>
      <c r="O72" s="5" t="s">
        <v>464</v>
      </c>
      <c r="P72" s="5" t="s">
        <v>98</v>
      </c>
      <c r="Q72" s="5" t="s">
        <v>465</v>
      </c>
      <c r="R72" s="5" t="s">
        <v>466</v>
      </c>
      <c r="S72" s="5" t="s">
        <v>467</v>
      </c>
      <c r="T72" s="5" t="s">
        <v>468</v>
      </c>
      <c r="U72" s="5" t="s">
        <v>469</v>
      </c>
      <c r="V72" s="5" t="s">
        <v>104</v>
      </c>
      <c r="W72" s="5" t="s">
        <v>388</v>
      </c>
      <c r="X72" s="6" t="s">
        <v>470</v>
      </c>
      <c r="Y72" s="5" t="s">
        <v>58</v>
      </c>
    </row>
    <row r="73" customFormat="false" ht="90" hidden="false" customHeight="true" outlineLevel="0" collapsed="false">
      <c r="A73" s="5" t="s">
        <v>42</v>
      </c>
      <c r="B73" s="5" t="s">
        <v>43</v>
      </c>
      <c r="C73" s="5" t="s">
        <v>381</v>
      </c>
      <c r="D73" s="5" t="s">
        <v>382</v>
      </c>
      <c r="E73" s="5"/>
      <c r="F73" s="5"/>
      <c r="G73" s="5" t="s">
        <v>46</v>
      </c>
      <c r="H73" s="5" t="s">
        <v>46</v>
      </c>
      <c r="I73" s="5" t="s">
        <v>249</v>
      </c>
      <c r="J73" s="5"/>
      <c r="K73" s="5" t="s">
        <v>250</v>
      </c>
      <c r="L73" s="5" t="n">
        <v>2020</v>
      </c>
      <c r="M73" s="5" t="n">
        <v>2020</v>
      </c>
      <c r="N73" s="5" t="s">
        <v>49</v>
      </c>
      <c r="O73" s="5" t="s">
        <v>471</v>
      </c>
      <c r="P73" s="5" t="s">
        <v>51</v>
      </c>
      <c r="Q73" s="5" t="s">
        <v>472</v>
      </c>
      <c r="R73" s="5" t="s">
        <v>473</v>
      </c>
      <c r="S73" s="5" t="s">
        <v>474</v>
      </c>
      <c r="T73" s="5" t="s">
        <v>475</v>
      </c>
      <c r="U73" s="5" t="s">
        <v>476</v>
      </c>
      <c r="V73" s="5" t="s">
        <v>56</v>
      </c>
      <c r="W73" s="5" t="s">
        <v>388</v>
      </c>
      <c r="X73" s="6"/>
      <c r="Y73" s="5" t="s">
        <v>58</v>
      </c>
    </row>
    <row r="74" customFormat="false" ht="90" hidden="false" customHeight="true" outlineLevel="0" collapsed="false">
      <c r="A74" s="5" t="s">
        <v>42</v>
      </c>
      <c r="B74" s="5" t="s">
        <v>43</v>
      </c>
      <c r="C74" s="5" t="s">
        <v>381</v>
      </c>
      <c r="D74" s="5" t="s">
        <v>382</v>
      </c>
      <c r="E74" s="5"/>
      <c r="F74" s="5"/>
      <c r="G74" s="5" t="s">
        <v>46</v>
      </c>
      <c r="H74" s="5" t="s">
        <v>46</v>
      </c>
      <c r="I74" s="5" t="s">
        <v>209</v>
      </c>
      <c r="J74" s="5"/>
      <c r="K74" s="5" t="s">
        <v>258</v>
      </c>
      <c r="L74" s="5" t="n">
        <v>2019</v>
      </c>
      <c r="M74" s="5" t="n">
        <v>2019</v>
      </c>
      <c r="N74" s="5" t="s">
        <v>49</v>
      </c>
      <c r="O74" s="5" t="s">
        <v>477</v>
      </c>
      <c r="P74" s="5" t="s">
        <v>98</v>
      </c>
      <c r="Q74" s="5" t="s">
        <v>478</v>
      </c>
      <c r="R74" s="5" t="s">
        <v>479</v>
      </c>
      <c r="S74" s="5" t="s">
        <v>480</v>
      </c>
      <c r="T74" s="5" t="s">
        <v>481</v>
      </c>
      <c r="U74" s="5" t="s">
        <v>482</v>
      </c>
      <c r="V74" s="5" t="s">
        <v>104</v>
      </c>
      <c r="W74" s="5" t="s">
        <v>388</v>
      </c>
      <c r="X74" s="6"/>
      <c r="Y74" s="5" t="s">
        <v>58</v>
      </c>
    </row>
    <row r="75" customFormat="false" ht="90" hidden="false" customHeight="true" outlineLevel="0" collapsed="false">
      <c r="A75" s="5" t="s">
        <v>42</v>
      </c>
      <c r="B75" s="5" t="s">
        <v>43</v>
      </c>
      <c r="C75" s="5" t="s">
        <v>483</v>
      </c>
      <c r="D75" s="5" t="s">
        <v>484</v>
      </c>
      <c r="E75" s="5"/>
      <c r="F75" s="5"/>
      <c r="G75" s="5" t="s">
        <v>46</v>
      </c>
      <c r="H75" s="5" t="s">
        <v>46</v>
      </c>
      <c r="I75" s="5" t="s">
        <v>126</v>
      </c>
      <c r="J75" s="5"/>
      <c r="K75" s="5" t="s">
        <v>127</v>
      </c>
      <c r="L75" s="5" t="n">
        <v>2025</v>
      </c>
      <c r="M75" s="5" t="n">
        <v>2025</v>
      </c>
      <c r="N75" s="5" t="s">
        <v>49</v>
      </c>
      <c r="O75" s="5" t="s">
        <v>485</v>
      </c>
      <c r="P75" s="5" t="s">
        <v>158</v>
      </c>
      <c r="Q75" s="5" t="s">
        <v>486</v>
      </c>
      <c r="R75" s="5" t="s">
        <v>487</v>
      </c>
      <c r="S75" s="5" t="s">
        <v>488</v>
      </c>
      <c r="T75" s="5" t="s">
        <v>489</v>
      </c>
      <c r="U75" s="5" t="s">
        <v>490</v>
      </c>
      <c r="V75" s="5" t="s">
        <v>162</v>
      </c>
      <c r="W75" s="5" t="s">
        <v>491</v>
      </c>
      <c r="X75" s="6"/>
      <c r="Y75" s="5" t="s">
        <v>58</v>
      </c>
    </row>
    <row r="76" customFormat="false" ht="90" hidden="false" customHeight="true" outlineLevel="0" collapsed="false">
      <c r="A76" s="5" t="s">
        <v>42</v>
      </c>
      <c r="B76" s="5" t="s">
        <v>43</v>
      </c>
      <c r="C76" s="5" t="s">
        <v>483</v>
      </c>
      <c r="D76" s="5" t="s">
        <v>484</v>
      </c>
      <c r="E76" s="5"/>
      <c r="F76" s="5"/>
      <c r="G76" s="5" t="s">
        <v>46</v>
      </c>
      <c r="H76" s="5" t="s">
        <v>46</v>
      </c>
      <c r="I76" s="5" t="s">
        <v>76</v>
      </c>
      <c r="J76" s="5"/>
      <c r="K76" s="5" t="s">
        <v>77</v>
      </c>
      <c r="L76" s="5" t="n">
        <v>2025</v>
      </c>
      <c r="M76" s="5" t="n">
        <v>2025</v>
      </c>
      <c r="N76" s="5" t="s">
        <v>49</v>
      </c>
      <c r="O76" s="5" t="s">
        <v>492</v>
      </c>
      <c r="P76" s="5" t="s">
        <v>158</v>
      </c>
      <c r="Q76" s="5" t="s">
        <v>493</v>
      </c>
      <c r="R76" s="5" t="s">
        <v>494</v>
      </c>
      <c r="S76" s="5" t="s">
        <v>495</v>
      </c>
      <c r="T76" s="5" t="s">
        <v>496</v>
      </c>
      <c r="U76" s="5" t="s">
        <v>497</v>
      </c>
      <c r="V76" s="5" t="s">
        <v>162</v>
      </c>
      <c r="W76" s="5" t="s">
        <v>491</v>
      </c>
      <c r="X76" s="6"/>
      <c r="Y76" s="5" t="s">
        <v>58</v>
      </c>
    </row>
    <row r="77" customFormat="false" ht="90" hidden="false" customHeight="true" outlineLevel="0" collapsed="false">
      <c r="A77" s="5" t="s">
        <v>42</v>
      </c>
      <c r="B77" s="5" t="s">
        <v>43</v>
      </c>
      <c r="C77" s="5" t="s">
        <v>483</v>
      </c>
      <c r="D77" s="5" t="s">
        <v>484</v>
      </c>
      <c r="E77" s="5"/>
      <c r="F77" s="5"/>
      <c r="G77" s="5" t="s">
        <v>46</v>
      </c>
      <c r="H77" s="5" t="s">
        <v>46</v>
      </c>
      <c r="I77" s="5" t="s">
        <v>155</v>
      </c>
      <c r="J77" s="5"/>
      <c r="K77" s="5" t="s">
        <v>361</v>
      </c>
      <c r="L77" s="5" t="n">
        <v>2024</v>
      </c>
      <c r="M77" s="5" t="n">
        <v>2024</v>
      </c>
      <c r="N77" s="5" t="s">
        <v>49</v>
      </c>
      <c r="O77" s="5" t="s">
        <v>498</v>
      </c>
      <c r="P77" s="5" t="s">
        <v>51</v>
      </c>
      <c r="Q77" s="5" t="s">
        <v>206</v>
      </c>
      <c r="R77" s="5" t="s">
        <v>123</v>
      </c>
      <c r="S77" s="5" t="s">
        <v>121</v>
      </c>
      <c r="T77" s="5" t="s">
        <v>122</v>
      </c>
      <c r="U77" s="5" t="s">
        <v>360</v>
      </c>
      <c r="V77" s="5" t="s">
        <v>56</v>
      </c>
      <c r="W77" s="5" t="s">
        <v>491</v>
      </c>
      <c r="X77" s="6"/>
      <c r="Y77" s="5" t="s">
        <v>58</v>
      </c>
    </row>
    <row r="78" customFormat="false" ht="90" hidden="false" customHeight="true" outlineLevel="0" collapsed="false">
      <c r="A78" s="5" t="s">
        <v>42</v>
      </c>
      <c r="B78" s="5" t="s">
        <v>43</v>
      </c>
      <c r="C78" s="5" t="s">
        <v>483</v>
      </c>
      <c r="D78" s="5" t="s">
        <v>484</v>
      </c>
      <c r="E78" s="5"/>
      <c r="F78" s="5"/>
      <c r="G78" s="5" t="s">
        <v>46</v>
      </c>
      <c r="H78" s="5" t="s">
        <v>46</v>
      </c>
      <c r="I78" s="5" t="s">
        <v>135</v>
      </c>
      <c r="J78" s="5"/>
      <c r="K78" s="5" t="s">
        <v>136</v>
      </c>
      <c r="L78" s="5" t="n">
        <v>2024</v>
      </c>
      <c r="M78" s="5" t="n">
        <v>2024</v>
      </c>
      <c r="N78" s="5" t="s">
        <v>49</v>
      </c>
      <c r="O78" s="5" t="s">
        <v>499</v>
      </c>
      <c r="P78" s="5" t="s">
        <v>98</v>
      </c>
      <c r="Q78" s="5" t="s">
        <v>500</v>
      </c>
      <c r="R78" s="5" t="s">
        <v>466</v>
      </c>
      <c r="S78" s="5" t="s">
        <v>501</v>
      </c>
      <c r="T78" s="5" t="s">
        <v>465</v>
      </c>
      <c r="U78" s="5" t="s">
        <v>469</v>
      </c>
      <c r="V78" s="5" t="s">
        <v>104</v>
      </c>
      <c r="W78" s="5" t="s">
        <v>491</v>
      </c>
      <c r="X78" s="6"/>
      <c r="Y78" s="5" t="s">
        <v>58</v>
      </c>
    </row>
    <row r="79" customFormat="false" ht="90" hidden="false" customHeight="true" outlineLevel="0" collapsed="false">
      <c r="A79" s="5" t="s">
        <v>42</v>
      </c>
      <c r="B79" s="5" t="s">
        <v>43</v>
      </c>
      <c r="C79" s="5" t="s">
        <v>483</v>
      </c>
      <c r="D79" s="5" t="s">
        <v>484</v>
      </c>
      <c r="E79" s="5"/>
      <c r="F79" s="5"/>
      <c r="G79" s="5" t="s">
        <v>46</v>
      </c>
      <c r="H79" s="5" t="s">
        <v>46</v>
      </c>
      <c r="I79" s="5" t="s">
        <v>47</v>
      </c>
      <c r="J79" s="5"/>
      <c r="K79" s="5" t="s">
        <v>117</v>
      </c>
      <c r="L79" s="5" t="n">
        <v>2024</v>
      </c>
      <c r="M79" s="5" t="n">
        <v>2024</v>
      </c>
      <c r="N79" s="5" t="s">
        <v>49</v>
      </c>
      <c r="O79" s="5" t="s">
        <v>502</v>
      </c>
      <c r="P79" s="5" t="s">
        <v>60</v>
      </c>
      <c r="Q79" s="5" t="s">
        <v>503</v>
      </c>
      <c r="R79" s="5" t="s">
        <v>504</v>
      </c>
      <c r="S79" s="5" t="s">
        <v>505</v>
      </c>
      <c r="T79" s="5" t="s">
        <v>506</v>
      </c>
      <c r="U79" s="5" t="s">
        <v>507</v>
      </c>
      <c r="V79" s="5" t="s">
        <v>65</v>
      </c>
      <c r="W79" s="5" t="s">
        <v>491</v>
      </c>
      <c r="X79" s="6"/>
      <c r="Y79" s="5" t="s">
        <v>58</v>
      </c>
    </row>
    <row r="80" customFormat="false" ht="90" hidden="false" customHeight="true" outlineLevel="0" collapsed="false">
      <c r="A80" s="5" t="s">
        <v>42</v>
      </c>
      <c r="B80" s="5" t="s">
        <v>43</v>
      </c>
      <c r="C80" s="5" t="s">
        <v>483</v>
      </c>
      <c r="D80" s="5" t="s">
        <v>484</v>
      </c>
      <c r="E80" s="5"/>
      <c r="F80" s="5"/>
      <c r="G80" s="5" t="s">
        <v>46</v>
      </c>
      <c r="H80" s="5" t="s">
        <v>46</v>
      </c>
      <c r="I80" s="5" t="s">
        <v>283</v>
      </c>
      <c r="J80" s="5"/>
      <c r="K80" s="5" t="s">
        <v>284</v>
      </c>
      <c r="L80" s="5" t="n">
        <v>2024</v>
      </c>
      <c r="M80" s="5" t="n">
        <v>2024</v>
      </c>
      <c r="N80" s="5" t="s">
        <v>49</v>
      </c>
      <c r="O80" s="5" t="s">
        <v>508</v>
      </c>
      <c r="P80" s="5" t="s">
        <v>69</v>
      </c>
      <c r="Q80" s="5" t="s">
        <v>206</v>
      </c>
      <c r="R80" s="5" t="s">
        <v>123</v>
      </c>
      <c r="S80" s="5" t="s">
        <v>121</v>
      </c>
      <c r="T80" s="5" t="s">
        <v>122</v>
      </c>
      <c r="U80" s="5" t="s">
        <v>360</v>
      </c>
      <c r="V80" s="5" t="s">
        <v>75</v>
      </c>
      <c r="W80" s="5" t="s">
        <v>491</v>
      </c>
      <c r="X80" s="6"/>
      <c r="Y80" s="5" t="s">
        <v>58</v>
      </c>
    </row>
    <row r="81" customFormat="false" ht="90" hidden="false" customHeight="true" outlineLevel="0" collapsed="false">
      <c r="A81" s="5" t="s">
        <v>42</v>
      </c>
      <c r="B81" s="5" t="s">
        <v>43</v>
      </c>
      <c r="C81" s="5" t="s">
        <v>483</v>
      </c>
      <c r="D81" s="5" t="s">
        <v>484</v>
      </c>
      <c r="E81" s="5"/>
      <c r="F81" s="5"/>
      <c r="G81" s="5" t="s">
        <v>46</v>
      </c>
      <c r="H81" s="5" t="s">
        <v>46</v>
      </c>
      <c r="I81" s="5" t="s">
        <v>509</v>
      </c>
      <c r="J81" s="5"/>
      <c r="K81" s="5" t="s">
        <v>510</v>
      </c>
      <c r="L81" s="5" t="n">
        <v>2020</v>
      </c>
      <c r="M81" s="5" t="n">
        <v>2020</v>
      </c>
      <c r="N81" s="5" t="s">
        <v>49</v>
      </c>
      <c r="O81" s="5" t="s">
        <v>511</v>
      </c>
      <c r="P81" s="5" t="s">
        <v>51</v>
      </c>
      <c r="Q81" s="5" t="s">
        <v>500</v>
      </c>
      <c r="R81" s="5" t="s">
        <v>469</v>
      </c>
      <c r="S81" s="5" t="s">
        <v>467</v>
      </c>
      <c r="T81" s="5" t="s">
        <v>466</v>
      </c>
      <c r="U81" s="5" t="s">
        <v>122</v>
      </c>
      <c r="V81" s="5" t="s">
        <v>56</v>
      </c>
      <c r="W81" s="5" t="s">
        <v>491</v>
      </c>
      <c r="X81" s="6"/>
      <c r="Y81" s="5" t="s">
        <v>58</v>
      </c>
    </row>
    <row r="82" customFormat="false" ht="90" hidden="false" customHeight="true" outlineLevel="0" collapsed="false">
      <c r="A82" s="5" t="s">
        <v>42</v>
      </c>
      <c r="B82" s="5" t="s">
        <v>43</v>
      </c>
      <c r="C82" s="5" t="s">
        <v>483</v>
      </c>
      <c r="D82" s="5" t="s">
        <v>484</v>
      </c>
      <c r="E82" s="5"/>
      <c r="F82" s="5"/>
      <c r="G82" s="5" t="s">
        <v>46</v>
      </c>
      <c r="H82" s="5" t="s">
        <v>46</v>
      </c>
      <c r="I82" s="5" t="s">
        <v>155</v>
      </c>
      <c r="J82" s="5"/>
      <c r="K82" s="5" t="s">
        <v>156</v>
      </c>
      <c r="L82" s="5" t="n">
        <v>2020</v>
      </c>
      <c r="M82" s="5" t="n">
        <v>2020</v>
      </c>
      <c r="N82" s="5" t="s">
        <v>49</v>
      </c>
      <c r="O82" s="5" t="s">
        <v>512</v>
      </c>
      <c r="P82" s="5" t="s">
        <v>60</v>
      </c>
      <c r="Q82" s="5" t="s">
        <v>513</v>
      </c>
      <c r="R82" s="5" t="s">
        <v>514</v>
      </c>
      <c r="S82" s="5" t="s">
        <v>515</v>
      </c>
      <c r="T82" s="5" t="s">
        <v>516</v>
      </c>
      <c r="U82" s="5" t="s">
        <v>517</v>
      </c>
      <c r="V82" s="5" t="s">
        <v>65</v>
      </c>
      <c r="W82" s="5" t="s">
        <v>491</v>
      </c>
      <c r="X82" s="6"/>
      <c r="Y82" s="5" t="s">
        <v>58</v>
      </c>
    </row>
    <row r="83" customFormat="false" ht="90" hidden="false" customHeight="true" outlineLevel="0" collapsed="false">
      <c r="A83" s="5" t="s">
        <v>42</v>
      </c>
      <c r="B83" s="5" t="s">
        <v>43</v>
      </c>
      <c r="C83" s="5" t="s">
        <v>483</v>
      </c>
      <c r="D83" s="5" t="s">
        <v>484</v>
      </c>
      <c r="E83" s="5"/>
      <c r="F83" s="5"/>
      <c r="G83" s="5" t="s">
        <v>46</v>
      </c>
      <c r="H83" s="5" t="s">
        <v>46</v>
      </c>
      <c r="I83" s="5" t="s">
        <v>509</v>
      </c>
      <c r="J83" s="5"/>
      <c r="K83" s="5" t="s">
        <v>510</v>
      </c>
      <c r="L83" s="5" t="n">
        <v>2020</v>
      </c>
      <c r="M83" s="5" t="n">
        <v>2020</v>
      </c>
      <c r="N83" s="5" t="s">
        <v>49</v>
      </c>
      <c r="O83" s="5" t="s">
        <v>518</v>
      </c>
      <c r="P83" s="5" t="s">
        <v>98</v>
      </c>
      <c r="Q83" s="5" t="s">
        <v>519</v>
      </c>
      <c r="R83" s="5" t="s">
        <v>520</v>
      </c>
      <c r="S83" s="5" t="s">
        <v>521</v>
      </c>
      <c r="T83" s="5" t="s">
        <v>522</v>
      </c>
      <c r="U83" s="5" t="s">
        <v>523</v>
      </c>
      <c r="V83" s="5" t="s">
        <v>104</v>
      </c>
      <c r="W83" s="5" t="s">
        <v>491</v>
      </c>
      <c r="X83" s="6"/>
      <c r="Y83" s="5" t="s">
        <v>58</v>
      </c>
    </row>
    <row r="84" customFormat="false" ht="90" hidden="false" customHeight="true" outlineLevel="0" collapsed="false">
      <c r="A84" s="5" t="s">
        <v>42</v>
      </c>
      <c r="B84" s="5" t="s">
        <v>43</v>
      </c>
      <c r="C84" s="5" t="s">
        <v>483</v>
      </c>
      <c r="D84" s="5" t="s">
        <v>484</v>
      </c>
      <c r="E84" s="5"/>
      <c r="F84" s="5"/>
      <c r="G84" s="5" t="s">
        <v>46</v>
      </c>
      <c r="H84" s="5" t="s">
        <v>46</v>
      </c>
      <c r="I84" s="5" t="s">
        <v>209</v>
      </c>
      <c r="J84" s="5"/>
      <c r="K84" s="5" t="s">
        <v>258</v>
      </c>
      <c r="L84" s="5" t="n">
        <v>2019</v>
      </c>
      <c r="M84" s="5" t="n">
        <v>2019</v>
      </c>
      <c r="N84" s="5" t="s">
        <v>49</v>
      </c>
      <c r="O84" s="5" t="s">
        <v>524</v>
      </c>
      <c r="P84" s="5" t="s">
        <v>69</v>
      </c>
      <c r="Q84" s="5" t="s">
        <v>525</v>
      </c>
      <c r="R84" s="5" t="s">
        <v>526</v>
      </c>
      <c r="S84" s="5" t="s">
        <v>527</v>
      </c>
      <c r="T84" s="5" t="s">
        <v>528</v>
      </c>
      <c r="U84" s="5" t="s">
        <v>529</v>
      </c>
      <c r="V84" s="5" t="s">
        <v>75</v>
      </c>
      <c r="W84" s="5" t="s">
        <v>491</v>
      </c>
      <c r="X84" s="6"/>
      <c r="Y84" s="5" t="s">
        <v>58</v>
      </c>
    </row>
    <row r="85" customFormat="false" ht="90" hidden="false" customHeight="true" outlineLevel="0" collapsed="false">
      <c r="A85" s="5" t="s">
        <v>42</v>
      </c>
      <c r="B85" s="5" t="s">
        <v>43</v>
      </c>
      <c r="C85" s="5" t="s">
        <v>483</v>
      </c>
      <c r="D85" s="5" t="s">
        <v>484</v>
      </c>
      <c r="E85" s="5"/>
      <c r="F85" s="5"/>
      <c r="G85" s="5" t="s">
        <v>46</v>
      </c>
      <c r="H85" s="5" t="s">
        <v>46</v>
      </c>
      <c r="I85" s="5" t="s">
        <v>249</v>
      </c>
      <c r="J85" s="5"/>
      <c r="K85" s="5" t="s">
        <v>261</v>
      </c>
      <c r="L85" s="5" t="n">
        <v>2019</v>
      </c>
      <c r="M85" s="5" t="n">
        <v>2019</v>
      </c>
      <c r="N85" s="5" t="s">
        <v>49</v>
      </c>
      <c r="O85" s="5" t="s">
        <v>530</v>
      </c>
      <c r="P85" s="5" t="s">
        <v>60</v>
      </c>
      <c r="Q85" s="5" t="s">
        <v>531</v>
      </c>
      <c r="R85" s="5" t="s">
        <v>532</v>
      </c>
      <c r="S85" s="5" t="s">
        <v>533</v>
      </c>
      <c r="T85" s="5" t="s">
        <v>534</v>
      </c>
      <c r="U85" s="5" t="s">
        <v>535</v>
      </c>
      <c r="V85" s="5" t="s">
        <v>65</v>
      </c>
      <c r="W85" s="5" t="s">
        <v>491</v>
      </c>
      <c r="X85" s="6"/>
      <c r="Y85" s="5" t="s">
        <v>58</v>
      </c>
    </row>
    <row r="86" customFormat="false" ht="90" hidden="false" customHeight="true" outlineLevel="0" collapsed="false">
      <c r="A86" s="5" t="s">
        <v>42</v>
      </c>
      <c r="B86" s="5" t="s">
        <v>43</v>
      </c>
      <c r="C86" s="5" t="s">
        <v>483</v>
      </c>
      <c r="D86" s="5" t="s">
        <v>484</v>
      </c>
      <c r="E86" s="5"/>
      <c r="F86" s="5"/>
      <c r="G86" s="5" t="s">
        <v>46</v>
      </c>
      <c r="H86" s="5" t="s">
        <v>46</v>
      </c>
      <c r="I86" s="5" t="s">
        <v>209</v>
      </c>
      <c r="J86" s="5"/>
      <c r="K86" s="5" t="s">
        <v>258</v>
      </c>
      <c r="L86" s="5" t="n">
        <v>2019</v>
      </c>
      <c r="M86" s="5" t="n">
        <v>2019</v>
      </c>
      <c r="N86" s="5" t="s">
        <v>49</v>
      </c>
      <c r="O86" s="5" t="s">
        <v>536</v>
      </c>
      <c r="P86" s="5" t="s">
        <v>98</v>
      </c>
      <c r="Q86" s="5" t="s">
        <v>519</v>
      </c>
      <c r="R86" s="5" t="s">
        <v>520</v>
      </c>
      <c r="S86" s="5" t="s">
        <v>521</v>
      </c>
      <c r="T86" s="5" t="s">
        <v>522</v>
      </c>
      <c r="U86" s="5" t="s">
        <v>537</v>
      </c>
      <c r="V86" s="5" t="s">
        <v>104</v>
      </c>
      <c r="W86" s="5" t="s">
        <v>491</v>
      </c>
      <c r="X86" s="6"/>
      <c r="Y86" s="5" t="s">
        <v>58</v>
      </c>
    </row>
    <row r="87" customFormat="false" ht="90" hidden="false" customHeight="true" outlineLevel="0" collapsed="false">
      <c r="A87" s="5" t="s">
        <v>42</v>
      </c>
      <c r="B87" s="5" t="s">
        <v>43</v>
      </c>
      <c r="C87" s="5" t="s">
        <v>483</v>
      </c>
      <c r="D87" s="5" t="s">
        <v>484</v>
      </c>
      <c r="E87" s="5"/>
      <c r="F87" s="5"/>
      <c r="G87" s="5" t="s">
        <v>46</v>
      </c>
      <c r="H87" s="5" t="s">
        <v>46</v>
      </c>
      <c r="I87" s="5" t="s">
        <v>209</v>
      </c>
      <c r="J87" s="5"/>
      <c r="K87" s="5" t="s">
        <v>258</v>
      </c>
      <c r="L87" s="5" t="n">
        <v>2019</v>
      </c>
      <c r="M87" s="5" t="n">
        <v>2019</v>
      </c>
      <c r="N87" s="5" t="s">
        <v>49</v>
      </c>
      <c r="O87" s="5" t="s">
        <v>538</v>
      </c>
      <c r="P87" s="5" t="s">
        <v>51</v>
      </c>
      <c r="Q87" s="5" t="s">
        <v>539</v>
      </c>
      <c r="R87" s="5" t="s">
        <v>540</v>
      </c>
      <c r="S87" s="5" t="s">
        <v>541</v>
      </c>
      <c r="T87" s="5" t="s">
        <v>542</v>
      </c>
      <c r="U87" s="5" t="s">
        <v>543</v>
      </c>
      <c r="V87" s="5" t="s">
        <v>56</v>
      </c>
      <c r="W87" s="5" t="s">
        <v>491</v>
      </c>
      <c r="X87" s="6"/>
      <c r="Y87" s="5" t="s">
        <v>58</v>
      </c>
    </row>
    <row r="88" customFormat="false" ht="90" hidden="false" customHeight="true" outlineLevel="0" collapsed="false">
      <c r="A88" s="5" t="s">
        <v>42</v>
      </c>
      <c r="B88" s="5" t="s">
        <v>43</v>
      </c>
      <c r="C88" s="5" t="s">
        <v>483</v>
      </c>
      <c r="D88" s="5" t="s">
        <v>484</v>
      </c>
      <c r="E88" s="5"/>
      <c r="F88" s="5"/>
      <c r="G88" s="5" t="s">
        <v>46</v>
      </c>
      <c r="H88" s="5" t="s">
        <v>46</v>
      </c>
      <c r="I88" s="5" t="s">
        <v>249</v>
      </c>
      <c r="J88" s="5"/>
      <c r="K88" s="5" t="s">
        <v>261</v>
      </c>
      <c r="L88" s="5" t="n">
        <v>2019</v>
      </c>
      <c r="M88" s="5" t="n">
        <v>2019</v>
      </c>
      <c r="N88" s="5" t="s">
        <v>49</v>
      </c>
      <c r="O88" s="5" t="s">
        <v>544</v>
      </c>
      <c r="P88" s="5" t="s">
        <v>98</v>
      </c>
      <c r="Q88" s="5" t="s">
        <v>545</v>
      </c>
      <c r="R88" s="5" t="s">
        <v>546</v>
      </c>
      <c r="S88" s="5" t="s">
        <v>547</v>
      </c>
      <c r="T88" s="5" t="s">
        <v>548</v>
      </c>
      <c r="U88" s="5" t="s">
        <v>549</v>
      </c>
      <c r="V88" s="5" t="s">
        <v>104</v>
      </c>
      <c r="W88" s="5" t="s">
        <v>491</v>
      </c>
      <c r="X88" s="6"/>
      <c r="Y88" s="5" t="s">
        <v>58</v>
      </c>
    </row>
    <row r="89" customFormat="false" ht="90" hidden="false" customHeight="true" outlineLevel="0" collapsed="false">
      <c r="A89" s="5" t="s">
        <v>42</v>
      </c>
      <c r="B89" s="5" t="s">
        <v>43</v>
      </c>
      <c r="C89" s="5" t="s">
        <v>550</v>
      </c>
      <c r="D89" s="5" t="s">
        <v>551</v>
      </c>
      <c r="E89" s="5"/>
      <c r="F89" s="5"/>
      <c r="G89" s="5" t="s">
        <v>46</v>
      </c>
      <c r="H89" s="5" t="s">
        <v>46</v>
      </c>
      <c r="I89" s="5" t="s">
        <v>155</v>
      </c>
      <c r="J89" s="5"/>
      <c r="K89" s="5" t="s">
        <v>156</v>
      </c>
      <c r="L89" s="5" t="n">
        <v>2020</v>
      </c>
      <c r="M89" s="5" t="n">
        <v>2020</v>
      </c>
      <c r="N89" s="5" t="s">
        <v>49</v>
      </c>
      <c r="O89" s="5" t="s">
        <v>552</v>
      </c>
      <c r="P89" s="5" t="s">
        <v>69</v>
      </c>
      <c r="Q89" s="5" t="s">
        <v>553</v>
      </c>
      <c r="R89" s="5" t="s">
        <v>554</v>
      </c>
      <c r="S89" s="5" t="s">
        <v>555</v>
      </c>
      <c r="T89" s="5" t="s">
        <v>556</v>
      </c>
      <c r="U89" s="5" t="s">
        <v>557</v>
      </c>
      <c r="V89" s="5" t="s">
        <v>75</v>
      </c>
      <c r="W89" s="5" t="s">
        <v>558</v>
      </c>
      <c r="X89" s="6"/>
      <c r="Y89" s="5" t="s">
        <v>58</v>
      </c>
    </row>
    <row r="90" customFormat="false" ht="90" hidden="false" customHeight="true" outlineLevel="0" collapsed="false">
      <c r="A90" s="5" t="s">
        <v>42</v>
      </c>
      <c r="B90" s="5" t="s">
        <v>43</v>
      </c>
      <c r="C90" s="5" t="s">
        <v>550</v>
      </c>
      <c r="D90" s="5" t="s">
        <v>551</v>
      </c>
      <c r="E90" s="5"/>
      <c r="F90" s="5"/>
      <c r="G90" s="5" t="s">
        <v>46</v>
      </c>
      <c r="H90" s="5" t="s">
        <v>46</v>
      </c>
      <c r="I90" s="5" t="s">
        <v>155</v>
      </c>
      <c r="J90" s="5"/>
      <c r="K90" s="5" t="s">
        <v>156</v>
      </c>
      <c r="L90" s="5" t="n">
        <v>2020</v>
      </c>
      <c r="M90" s="5" t="n">
        <v>2020</v>
      </c>
      <c r="N90" s="5" t="s">
        <v>49</v>
      </c>
      <c r="O90" s="5" t="s">
        <v>559</v>
      </c>
      <c r="P90" s="5" t="s">
        <v>98</v>
      </c>
      <c r="Q90" s="5" t="s">
        <v>560</v>
      </c>
      <c r="R90" s="5" t="s">
        <v>561</v>
      </c>
      <c r="S90" s="5" t="s">
        <v>192</v>
      </c>
      <c r="T90" s="5" t="s">
        <v>562</v>
      </c>
      <c r="U90" s="5" t="s">
        <v>563</v>
      </c>
      <c r="V90" s="5" t="s">
        <v>104</v>
      </c>
      <c r="W90" s="5" t="s">
        <v>558</v>
      </c>
      <c r="X90" s="6"/>
      <c r="Y90" s="5" t="s">
        <v>58</v>
      </c>
    </row>
    <row r="91" customFormat="false" ht="90" hidden="false" customHeight="true" outlineLevel="0" collapsed="false">
      <c r="A91" s="5" t="s">
        <v>42</v>
      </c>
      <c r="B91" s="5" t="s">
        <v>43</v>
      </c>
      <c r="C91" s="5" t="s">
        <v>550</v>
      </c>
      <c r="D91" s="5" t="s">
        <v>551</v>
      </c>
      <c r="E91" s="5"/>
      <c r="F91" s="5"/>
      <c r="G91" s="5" t="s">
        <v>46</v>
      </c>
      <c r="H91" s="5" t="s">
        <v>46</v>
      </c>
      <c r="I91" s="5" t="s">
        <v>509</v>
      </c>
      <c r="J91" s="5"/>
      <c r="K91" s="5" t="s">
        <v>510</v>
      </c>
      <c r="L91" s="5" t="n">
        <v>2020</v>
      </c>
      <c r="M91" s="5" t="n">
        <v>2020</v>
      </c>
      <c r="N91" s="5" t="s">
        <v>49</v>
      </c>
      <c r="O91" s="5" t="s">
        <v>564</v>
      </c>
      <c r="P91" s="5" t="s">
        <v>158</v>
      </c>
      <c r="Q91" s="5" t="s">
        <v>565</v>
      </c>
      <c r="R91" s="5" t="s">
        <v>566</v>
      </c>
      <c r="S91" s="5" t="s">
        <v>567</v>
      </c>
      <c r="T91" s="5" t="s">
        <v>568</v>
      </c>
      <c r="U91" s="5" t="s">
        <v>569</v>
      </c>
      <c r="V91" s="5" t="s">
        <v>162</v>
      </c>
      <c r="W91" s="5" t="s">
        <v>558</v>
      </c>
      <c r="X91" s="6"/>
      <c r="Y91" s="5" t="s">
        <v>58</v>
      </c>
    </row>
    <row r="92" customFormat="false" ht="90" hidden="false" customHeight="true" outlineLevel="0" collapsed="false">
      <c r="A92" s="5" t="s">
        <v>42</v>
      </c>
      <c r="B92" s="5" t="s">
        <v>43</v>
      </c>
      <c r="C92" s="5" t="s">
        <v>550</v>
      </c>
      <c r="D92" s="5" t="s">
        <v>551</v>
      </c>
      <c r="E92" s="5"/>
      <c r="F92" s="5"/>
      <c r="G92" s="5" t="s">
        <v>46</v>
      </c>
      <c r="H92" s="5" t="s">
        <v>46</v>
      </c>
      <c r="I92" s="5" t="s">
        <v>155</v>
      </c>
      <c r="J92" s="5"/>
      <c r="K92" s="5" t="s">
        <v>156</v>
      </c>
      <c r="L92" s="5" t="n">
        <v>2020</v>
      </c>
      <c r="M92" s="5" t="n">
        <v>2020</v>
      </c>
      <c r="N92" s="5" t="s">
        <v>49</v>
      </c>
      <c r="O92" s="5" t="s">
        <v>570</v>
      </c>
      <c r="P92" s="5" t="s">
        <v>158</v>
      </c>
      <c r="Q92" s="5" t="s">
        <v>571</v>
      </c>
      <c r="R92" s="5" t="s">
        <v>572</v>
      </c>
      <c r="S92" s="5" t="s">
        <v>573</v>
      </c>
      <c r="T92" s="5" t="s">
        <v>574</v>
      </c>
      <c r="U92" s="5" t="s">
        <v>575</v>
      </c>
      <c r="V92" s="5" t="s">
        <v>162</v>
      </c>
      <c r="W92" s="5" t="s">
        <v>558</v>
      </c>
      <c r="X92" s="6"/>
      <c r="Y92" s="5" t="s">
        <v>58</v>
      </c>
    </row>
    <row r="93" customFormat="false" ht="90" hidden="false" customHeight="true" outlineLevel="0" collapsed="false">
      <c r="A93" s="5" t="s">
        <v>42</v>
      </c>
      <c r="B93" s="5" t="s">
        <v>43</v>
      </c>
      <c r="C93" s="5" t="s">
        <v>550</v>
      </c>
      <c r="D93" s="5" t="s">
        <v>551</v>
      </c>
      <c r="E93" s="5"/>
      <c r="F93" s="5"/>
      <c r="G93" s="5" t="s">
        <v>46</v>
      </c>
      <c r="H93" s="5" t="s">
        <v>46</v>
      </c>
      <c r="I93" s="5" t="s">
        <v>209</v>
      </c>
      <c r="J93" s="5"/>
      <c r="K93" s="5" t="s">
        <v>258</v>
      </c>
      <c r="L93" s="5" t="n">
        <v>2019</v>
      </c>
      <c r="M93" s="5" t="n">
        <v>2019</v>
      </c>
      <c r="N93" s="5" t="s">
        <v>49</v>
      </c>
      <c r="O93" s="5" t="s">
        <v>576</v>
      </c>
      <c r="P93" s="5" t="s">
        <v>60</v>
      </c>
      <c r="Q93" s="5" t="s">
        <v>577</v>
      </c>
      <c r="R93" s="5" t="s">
        <v>567</v>
      </c>
      <c r="S93" s="5" t="s">
        <v>568</v>
      </c>
      <c r="T93" s="5" t="s">
        <v>578</v>
      </c>
      <c r="U93" s="5" t="s">
        <v>579</v>
      </c>
      <c r="V93" s="5" t="s">
        <v>65</v>
      </c>
      <c r="W93" s="5" t="s">
        <v>558</v>
      </c>
      <c r="X93" s="6"/>
      <c r="Y93" s="5" t="s">
        <v>58</v>
      </c>
    </row>
    <row r="94" customFormat="false" ht="90" hidden="false" customHeight="true" outlineLevel="0" collapsed="false">
      <c r="A94" s="5" t="s">
        <v>42</v>
      </c>
      <c r="B94" s="5" t="s">
        <v>43</v>
      </c>
      <c r="C94" s="5" t="s">
        <v>580</v>
      </c>
      <c r="D94" s="5" t="s">
        <v>581</v>
      </c>
      <c r="E94" s="5"/>
      <c r="F94" s="5"/>
      <c r="G94" s="5" t="s">
        <v>46</v>
      </c>
      <c r="H94" s="5" t="s">
        <v>46</v>
      </c>
      <c r="I94" s="5" t="s">
        <v>155</v>
      </c>
      <c r="J94" s="5"/>
      <c r="K94" s="5" t="s">
        <v>361</v>
      </c>
      <c r="L94" s="5" t="n">
        <v>2024</v>
      </c>
      <c r="M94" s="5" t="n">
        <v>2024</v>
      </c>
      <c r="N94" s="5" t="s">
        <v>49</v>
      </c>
      <c r="O94" s="5" t="s">
        <v>582</v>
      </c>
      <c r="P94" s="5" t="s">
        <v>98</v>
      </c>
      <c r="Q94" s="5" t="s">
        <v>583</v>
      </c>
      <c r="R94" s="5" t="s">
        <v>584</v>
      </c>
      <c r="S94" s="5" t="s">
        <v>585</v>
      </c>
      <c r="T94" s="5" t="s">
        <v>586</v>
      </c>
      <c r="U94" s="5" t="s">
        <v>587</v>
      </c>
      <c r="V94" s="5" t="s">
        <v>104</v>
      </c>
      <c r="W94" s="5" t="s">
        <v>588</v>
      </c>
      <c r="X94" s="6"/>
      <c r="Y94" s="5" t="s">
        <v>58</v>
      </c>
    </row>
    <row r="95" customFormat="false" ht="90" hidden="false" customHeight="true" outlineLevel="0" collapsed="false">
      <c r="A95" s="5" t="s">
        <v>42</v>
      </c>
      <c r="B95" s="5" t="s">
        <v>43</v>
      </c>
      <c r="C95" s="5" t="s">
        <v>580</v>
      </c>
      <c r="D95" s="5" t="s">
        <v>581</v>
      </c>
      <c r="E95" s="5"/>
      <c r="F95" s="5"/>
      <c r="G95" s="5" t="s">
        <v>46</v>
      </c>
      <c r="H95" s="5" t="s">
        <v>46</v>
      </c>
      <c r="I95" s="5" t="s">
        <v>155</v>
      </c>
      <c r="J95" s="5"/>
      <c r="K95" s="5" t="s">
        <v>156</v>
      </c>
      <c r="L95" s="5" t="n">
        <v>2020</v>
      </c>
      <c r="M95" s="5" t="n">
        <v>2020</v>
      </c>
      <c r="N95" s="5" t="s">
        <v>49</v>
      </c>
      <c r="O95" s="5" t="s">
        <v>589</v>
      </c>
      <c r="P95" s="5" t="s">
        <v>60</v>
      </c>
      <c r="Q95" s="5" t="s">
        <v>590</v>
      </c>
      <c r="R95" s="5" t="s">
        <v>591</v>
      </c>
      <c r="S95" s="5" t="s">
        <v>592</v>
      </c>
      <c r="T95" s="5" t="s">
        <v>593</v>
      </c>
      <c r="U95" s="5" t="s">
        <v>594</v>
      </c>
      <c r="V95" s="5" t="s">
        <v>65</v>
      </c>
      <c r="W95" s="5" t="s">
        <v>588</v>
      </c>
      <c r="X95" s="6"/>
      <c r="Y95" s="5" t="s">
        <v>58</v>
      </c>
    </row>
    <row r="96" customFormat="false" ht="90" hidden="false" customHeight="true" outlineLevel="0" collapsed="false">
      <c r="A96" s="5" t="s">
        <v>42</v>
      </c>
      <c r="B96" s="5" t="s">
        <v>43</v>
      </c>
      <c r="C96" s="5" t="s">
        <v>595</v>
      </c>
      <c r="D96" s="5" t="s">
        <v>596</v>
      </c>
      <c r="E96" s="5"/>
      <c r="F96" s="5"/>
      <c r="G96" s="5" t="s">
        <v>46</v>
      </c>
      <c r="H96" s="5" t="s">
        <v>46</v>
      </c>
      <c r="I96" s="5" t="s">
        <v>283</v>
      </c>
      <c r="J96" s="5"/>
      <c r="K96" s="5" t="s">
        <v>284</v>
      </c>
      <c r="L96" s="5" t="n">
        <v>2024</v>
      </c>
      <c r="M96" s="5" t="n">
        <v>2024</v>
      </c>
      <c r="N96" s="5" t="s">
        <v>49</v>
      </c>
      <c r="O96" s="5" t="s">
        <v>597</v>
      </c>
      <c r="P96" s="5" t="s">
        <v>98</v>
      </c>
      <c r="Q96" s="5" t="s">
        <v>120</v>
      </c>
      <c r="R96" s="5" t="s">
        <v>123</v>
      </c>
      <c r="S96" s="5" t="s">
        <v>121</v>
      </c>
      <c r="T96" s="5" t="s">
        <v>122</v>
      </c>
      <c r="U96" s="5" t="s">
        <v>119</v>
      </c>
      <c r="V96" s="5" t="s">
        <v>104</v>
      </c>
      <c r="W96" s="5" t="s">
        <v>598</v>
      </c>
      <c r="X96" s="6"/>
      <c r="Y96" s="5" t="s">
        <v>58</v>
      </c>
    </row>
    <row r="97" customFormat="false" ht="90" hidden="false" customHeight="true" outlineLevel="0" collapsed="false">
      <c r="A97" s="5" t="s">
        <v>42</v>
      </c>
      <c r="B97" s="5" t="s">
        <v>43</v>
      </c>
      <c r="C97" s="5" t="s">
        <v>595</v>
      </c>
      <c r="D97" s="5" t="s">
        <v>596</v>
      </c>
      <c r="E97" s="5"/>
      <c r="F97" s="5"/>
      <c r="G97" s="5" t="s">
        <v>46</v>
      </c>
      <c r="H97" s="5" t="s">
        <v>46</v>
      </c>
      <c r="I97" s="5" t="s">
        <v>363</v>
      </c>
      <c r="J97" s="5"/>
      <c r="K97" s="5" t="s">
        <v>364</v>
      </c>
      <c r="L97" s="5" t="n">
        <v>2023</v>
      </c>
      <c r="M97" s="5" t="n">
        <v>2023</v>
      </c>
      <c r="N97" s="5" t="s">
        <v>49</v>
      </c>
      <c r="O97" s="5" t="s">
        <v>599</v>
      </c>
      <c r="P97" s="5" t="s">
        <v>98</v>
      </c>
      <c r="Q97" s="5" t="s">
        <v>600</v>
      </c>
      <c r="R97" s="5" t="s">
        <v>601</v>
      </c>
      <c r="S97" s="5" t="s">
        <v>602</v>
      </c>
      <c r="T97" s="5" t="s">
        <v>603</v>
      </c>
      <c r="U97" s="5" t="s">
        <v>604</v>
      </c>
      <c r="V97" s="5" t="s">
        <v>104</v>
      </c>
      <c r="W97" s="5" t="s">
        <v>598</v>
      </c>
      <c r="X97" s="6"/>
      <c r="Y97" s="5" t="s">
        <v>58</v>
      </c>
    </row>
    <row r="98" customFormat="false" ht="90" hidden="false" customHeight="true" outlineLevel="0" collapsed="false">
      <c r="A98" s="5" t="s">
        <v>42</v>
      </c>
      <c r="B98" s="5" t="s">
        <v>43</v>
      </c>
      <c r="C98" s="5" t="s">
        <v>595</v>
      </c>
      <c r="D98" s="5" t="s">
        <v>596</v>
      </c>
      <c r="E98" s="5"/>
      <c r="F98" s="5"/>
      <c r="G98" s="5" t="s">
        <v>46</v>
      </c>
      <c r="H98" s="5" t="s">
        <v>46</v>
      </c>
      <c r="I98" s="5" t="s">
        <v>155</v>
      </c>
      <c r="J98" s="5"/>
      <c r="K98" s="5" t="s">
        <v>156</v>
      </c>
      <c r="L98" s="5" t="n">
        <v>2020</v>
      </c>
      <c r="M98" s="5" t="n">
        <v>2020</v>
      </c>
      <c r="N98" s="5" t="s">
        <v>49</v>
      </c>
      <c r="O98" s="5" t="s">
        <v>605</v>
      </c>
      <c r="P98" s="5" t="s">
        <v>158</v>
      </c>
      <c r="Q98" s="5" t="s">
        <v>119</v>
      </c>
      <c r="R98" s="5" t="s">
        <v>469</v>
      </c>
      <c r="S98" s="5" t="s">
        <v>606</v>
      </c>
      <c r="T98" s="5" t="s">
        <v>607</v>
      </c>
      <c r="U98" s="5" t="s">
        <v>549</v>
      </c>
      <c r="V98" s="5" t="s">
        <v>162</v>
      </c>
      <c r="W98" s="5" t="s">
        <v>598</v>
      </c>
      <c r="X98" s="6"/>
      <c r="Y98" s="5" t="s">
        <v>58</v>
      </c>
    </row>
    <row r="99" customFormat="false" ht="90" hidden="false" customHeight="true" outlineLevel="0" collapsed="false">
      <c r="A99" s="5" t="s">
        <v>42</v>
      </c>
      <c r="B99" s="5" t="s">
        <v>43</v>
      </c>
      <c r="C99" s="5" t="s">
        <v>595</v>
      </c>
      <c r="D99" s="5" t="s">
        <v>596</v>
      </c>
      <c r="E99" s="5"/>
      <c r="F99" s="5"/>
      <c r="G99" s="5" t="s">
        <v>46</v>
      </c>
      <c r="H99" s="5" t="s">
        <v>46</v>
      </c>
      <c r="I99" s="5" t="s">
        <v>155</v>
      </c>
      <c r="J99" s="5"/>
      <c r="K99" s="5" t="s">
        <v>156</v>
      </c>
      <c r="L99" s="5" t="n">
        <v>2020</v>
      </c>
      <c r="M99" s="5" t="n">
        <v>2020</v>
      </c>
      <c r="N99" s="5" t="s">
        <v>49</v>
      </c>
      <c r="O99" s="5" t="s">
        <v>608</v>
      </c>
      <c r="P99" s="5" t="s">
        <v>60</v>
      </c>
      <c r="Q99" s="5" t="s">
        <v>609</v>
      </c>
      <c r="R99" s="5" t="s">
        <v>610</v>
      </c>
      <c r="S99" s="5" t="s">
        <v>611</v>
      </c>
      <c r="T99" s="5" t="s">
        <v>612</v>
      </c>
      <c r="U99" s="5" t="s">
        <v>613</v>
      </c>
      <c r="V99" s="5" t="s">
        <v>65</v>
      </c>
      <c r="W99" s="5" t="s">
        <v>598</v>
      </c>
      <c r="X99" s="6"/>
      <c r="Y99" s="5" t="s">
        <v>58</v>
      </c>
    </row>
    <row r="100" customFormat="false" ht="90" hidden="false" customHeight="true" outlineLevel="0" collapsed="false">
      <c r="A100" s="5" t="s">
        <v>42</v>
      </c>
      <c r="B100" s="5" t="s">
        <v>43</v>
      </c>
      <c r="C100" s="5" t="s">
        <v>614</v>
      </c>
      <c r="D100" s="5" t="s">
        <v>615</v>
      </c>
      <c r="E100" s="5"/>
      <c r="F100" s="5"/>
      <c r="G100" s="5" t="s">
        <v>46</v>
      </c>
      <c r="H100" s="5" t="s">
        <v>46</v>
      </c>
      <c r="I100" s="5" t="s">
        <v>209</v>
      </c>
      <c r="J100" s="5"/>
      <c r="K100" s="5" t="s">
        <v>258</v>
      </c>
      <c r="L100" s="5" t="n">
        <v>2019</v>
      </c>
      <c r="M100" s="5" t="n">
        <v>2019</v>
      </c>
      <c r="N100" s="5" t="s">
        <v>49</v>
      </c>
      <c r="O100" s="5" t="s">
        <v>616</v>
      </c>
      <c r="P100" s="5" t="s">
        <v>158</v>
      </c>
      <c r="Q100" s="5" t="s">
        <v>532</v>
      </c>
      <c r="R100" s="5" t="s">
        <v>617</v>
      </c>
      <c r="S100" s="5" t="s">
        <v>618</v>
      </c>
      <c r="T100" s="5" t="s">
        <v>619</v>
      </c>
      <c r="U100" s="5" t="s">
        <v>620</v>
      </c>
      <c r="V100" s="5" t="s">
        <v>162</v>
      </c>
      <c r="W100" s="5" t="s">
        <v>621</v>
      </c>
      <c r="X100" s="6" t="s">
        <v>622</v>
      </c>
      <c r="Y100" s="5" t="s">
        <v>58</v>
      </c>
    </row>
    <row r="101" customFormat="false" ht="90" hidden="false" customHeight="true" outlineLevel="0" collapsed="false">
      <c r="A101" s="5" t="s">
        <v>42</v>
      </c>
      <c r="B101" s="5" t="s">
        <v>43</v>
      </c>
      <c r="C101" s="5" t="s">
        <v>623</v>
      </c>
      <c r="D101" s="5" t="s">
        <v>624</v>
      </c>
      <c r="E101" s="5"/>
      <c r="F101" s="5"/>
      <c r="G101" s="5" t="s">
        <v>46</v>
      </c>
      <c r="H101" s="5" t="s">
        <v>46</v>
      </c>
      <c r="I101" s="5" t="s">
        <v>155</v>
      </c>
      <c r="J101" s="5"/>
      <c r="K101" s="5" t="s">
        <v>361</v>
      </c>
      <c r="L101" s="5" t="n">
        <v>2024</v>
      </c>
      <c r="M101" s="5" t="n">
        <v>2024</v>
      </c>
      <c r="N101" s="5" t="s">
        <v>49</v>
      </c>
      <c r="O101" s="5" t="s">
        <v>625</v>
      </c>
      <c r="P101" s="5" t="s">
        <v>51</v>
      </c>
      <c r="Q101" s="5" t="s">
        <v>123</v>
      </c>
      <c r="R101" s="5" t="s">
        <v>121</v>
      </c>
      <c r="S101" s="5" t="s">
        <v>122</v>
      </c>
      <c r="T101" s="5" t="s">
        <v>120</v>
      </c>
      <c r="U101" s="5" t="s">
        <v>360</v>
      </c>
      <c r="V101" s="5" t="s">
        <v>56</v>
      </c>
      <c r="W101" s="5" t="s">
        <v>626</v>
      </c>
      <c r="X101" s="6"/>
      <c r="Y101" s="5" t="s">
        <v>58</v>
      </c>
    </row>
    <row r="102" customFormat="false" ht="90" hidden="false" customHeight="true" outlineLevel="0" collapsed="false">
      <c r="A102" s="5" t="s">
        <v>42</v>
      </c>
      <c r="B102" s="5" t="s">
        <v>43</v>
      </c>
      <c r="C102" s="5" t="s">
        <v>623</v>
      </c>
      <c r="D102" s="5" t="s">
        <v>624</v>
      </c>
      <c r="E102" s="5"/>
      <c r="F102" s="5"/>
      <c r="G102" s="5" t="s">
        <v>46</v>
      </c>
      <c r="H102" s="5" t="s">
        <v>46</v>
      </c>
      <c r="I102" s="5" t="s">
        <v>140</v>
      </c>
      <c r="J102" s="5"/>
      <c r="K102" s="5" t="s">
        <v>141</v>
      </c>
      <c r="L102" s="5" t="n">
        <v>2023</v>
      </c>
      <c r="M102" s="5" t="n">
        <v>2023</v>
      </c>
      <c r="N102" s="5" t="s">
        <v>49</v>
      </c>
      <c r="O102" s="5" t="s">
        <v>627</v>
      </c>
      <c r="P102" s="5" t="s">
        <v>69</v>
      </c>
      <c r="Q102" s="5" t="s">
        <v>628</v>
      </c>
      <c r="R102" s="5" t="s">
        <v>629</v>
      </c>
      <c r="S102" s="5" t="s">
        <v>630</v>
      </c>
      <c r="T102" s="5" t="s">
        <v>631</v>
      </c>
      <c r="U102" s="5" t="s">
        <v>632</v>
      </c>
      <c r="V102" s="5" t="s">
        <v>75</v>
      </c>
      <c r="W102" s="5" t="s">
        <v>626</v>
      </c>
      <c r="X102" s="6"/>
      <c r="Y102" s="5" t="s">
        <v>58</v>
      </c>
    </row>
    <row r="103" customFormat="false" ht="90" hidden="false" customHeight="true" outlineLevel="0" collapsed="false">
      <c r="A103" s="5" t="s">
        <v>42</v>
      </c>
      <c r="B103" s="5" t="s">
        <v>43</v>
      </c>
      <c r="C103" s="5" t="s">
        <v>633</v>
      </c>
      <c r="D103" s="5" t="s">
        <v>634</v>
      </c>
      <c r="E103" s="5"/>
      <c r="F103" s="5"/>
      <c r="G103" s="5" t="s">
        <v>46</v>
      </c>
      <c r="H103" s="5" t="s">
        <v>46</v>
      </c>
      <c r="I103" s="5" t="s">
        <v>283</v>
      </c>
      <c r="J103" s="5"/>
      <c r="K103" s="5" t="s">
        <v>284</v>
      </c>
      <c r="L103" s="5" t="n">
        <v>2024</v>
      </c>
      <c r="M103" s="5" t="n">
        <v>2024</v>
      </c>
      <c r="N103" s="5" t="s">
        <v>49</v>
      </c>
      <c r="O103" s="5" t="s">
        <v>635</v>
      </c>
      <c r="P103" s="5" t="s">
        <v>158</v>
      </c>
      <c r="Q103" s="5" t="s">
        <v>123</v>
      </c>
      <c r="R103" s="5" t="s">
        <v>121</v>
      </c>
      <c r="S103" s="5" t="s">
        <v>122</v>
      </c>
      <c r="T103" s="5" t="s">
        <v>360</v>
      </c>
      <c r="U103" s="5" t="s">
        <v>119</v>
      </c>
      <c r="V103" s="5" t="s">
        <v>162</v>
      </c>
      <c r="W103" s="5" t="s">
        <v>636</v>
      </c>
      <c r="X103" s="6"/>
      <c r="Y103" s="5" t="s">
        <v>58</v>
      </c>
    </row>
    <row r="104" customFormat="false" ht="90" hidden="false" customHeight="true" outlineLevel="0" collapsed="false">
      <c r="A104" s="5" t="s">
        <v>42</v>
      </c>
      <c r="B104" s="5" t="s">
        <v>43</v>
      </c>
      <c r="C104" s="5" t="s">
        <v>633</v>
      </c>
      <c r="D104" s="5" t="s">
        <v>634</v>
      </c>
      <c r="E104" s="5"/>
      <c r="F104" s="5"/>
      <c r="G104" s="5" t="s">
        <v>46</v>
      </c>
      <c r="H104" s="5" t="s">
        <v>46</v>
      </c>
      <c r="I104" s="5" t="s">
        <v>147</v>
      </c>
      <c r="J104" s="5"/>
      <c r="K104" s="5" t="s">
        <v>148</v>
      </c>
      <c r="L104" s="5" t="n">
        <v>2022</v>
      </c>
      <c r="M104" s="5" t="n">
        <v>2022</v>
      </c>
      <c r="N104" s="5" t="s">
        <v>49</v>
      </c>
      <c r="O104" s="5" t="s">
        <v>637</v>
      </c>
      <c r="P104" s="5" t="s">
        <v>98</v>
      </c>
      <c r="Q104" s="5" t="s">
        <v>638</v>
      </c>
      <c r="R104" s="5" t="s">
        <v>639</v>
      </c>
      <c r="S104" s="5" t="s">
        <v>640</v>
      </c>
      <c r="T104" s="5" t="s">
        <v>641</v>
      </c>
      <c r="U104" s="5" t="s">
        <v>642</v>
      </c>
      <c r="V104" s="5" t="s">
        <v>104</v>
      </c>
      <c r="W104" s="5" t="s">
        <v>636</v>
      </c>
      <c r="X104" s="6"/>
      <c r="Y104" s="5" t="s">
        <v>58</v>
      </c>
    </row>
    <row r="105" customFormat="false" ht="90" hidden="false" customHeight="true" outlineLevel="0" collapsed="false">
      <c r="A105" s="5" t="s">
        <v>42</v>
      </c>
      <c r="B105" s="5" t="s">
        <v>43</v>
      </c>
      <c r="C105" s="5" t="s">
        <v>633</v>
      </c>
      <c r="D105" s="5" t="s">
        <v>634</v>
      </c>
      <c r="E105" s="5"/>
      <c r="F105" s="5"/>
      <c r="G105" s="5" t="s">
        <v>46</v>
      </c>
      <c r="H105" s="5" t="s">
        <v>46</v>
      </c>
      <c r="I105" s="5" t="s">
        <v>147</v>
      </c>
      <c r="J105" s="5"/>
      <c r="K105" s="5" t="s">
        <v>148</v>
      </c>
      <c r="L105" s="5" t="n">
        <v>2022</v>
      </c>
      <c r="M105" s="5" t="n">
        <v>2022</v>
      </c>
      <c r="N105" s="5" t="s">
        <v>49</v>
      </c>
      <c r="O105" s="5" t="s">
        <v>643</v>
      </c>
      <c r="P105" s="5" t="s">
        <v>98</v>
      </c>
      <c r="Q105" s="5" t="e">
        <f aca="false">somase(A3:A13=="Saúde";B3:B13).</f>
        <v>#VALUE!</v>
      </c>
      <c r="R105" s="5" t="e">
        <f aca="false">somase(B3:B13;A3:A13;"Saúde").</f>
        <v>#VALUE!</v>
      </c>
      <c r="S105" s="5" t="e">
        <f aca="false">somase(B3:B13;A3:A13=="Saúde").</f>
        <v>#VALUE!</v>
      </c>
      <c r="T105" s="5" t="e">
        <f aca="false">somase(a|categoria=="Saúde";B3:B13).</f>
        <v>#VALUE!</v>
      </c>
      <c r="U105" s="5" t="e">
        <f aca="false">somase(A3:A13;"Saúde";B3:B13).</f>
        <v>#VALUE!</v>
      </c>
      <c r="V105" s="5" t="s">
        <v>104</v>
      </c>
      <c r="W105" s="5" t="s">
        <v>636</v>
      </c>
      <c r="X105" s="6" t="s">
        <v>644</v>
      </c>
      <c r="Y105" s="5" t="s">
        <v>58</v>
      </c>
    </row>
    <row r="106" customFormat="false" ht="90" hidden="false" customHeight="true" outlineLevel="0" collapsed="false">
      <c r="A106" s="5" t="s">
        <v>42</v>
      </c>
      <c r="B106" s="5" t="s">
        <v>43</v>
      </c>
      <c r="C106" s="5" t="s">
        <v>633</v>
      </c>
      <c r="D106" s="5" t="s">
        <v>634</v>
      </c>
      <c r="E106" s="5"/>
      <c r="F106" s="5"/>
      <c r="G106" s="5" t="s">
        <v>46</v>
      </c>
      <c r="H106" s="5" t="s">
        <v>46</v>
      </c>
      <c r="I106" s="5" t="s">
        <v>155</v>
      </c>
      <c r="J106" s="5"/>
      <c r="K106" s="5" t="s">
        <v>156</v>
      </c>
      <c r="L106" s="5" t="n">
        <v>2020</v>
      </c>
      <c r="M106" s="5" t="n">
        <v>2020</v>
      </c>
      <c r="N106" s="5" t="s">
        <v>49</v>
      </c>
      <c r="O106" s="5" t="s">
        <v>645</v>
      </c>
      <c r="P106" s="5" t="s">
        <v>69</v>
      </c>
      <c r="Q106" s="5" t="s">
        <v>646</v>
      </c>
      <c r="R106" s="5" t="s">
        <v>647</v>
      </c>
      <c r="S106" s="5" t="s">
        <v>648</v>
      </c>
      <c r="T106" s="5" t="s">
        <v>649</v>
      </c>
      <c r="U106" s="5" t="s">
        <v>650</v>
      </c>
      <c r="V106" s="5" t="s">
        <v>75</v>
      </c>
      <c r="W106" s="5" t="s">
        <v>636</v>
      </c>
      <c r="X106" s="6" t="s">
        <v>651</v>
      </c>
      <c r="Y106" s="5" t="s">
        <v>58</v>
      </c>
    </row>
    <row r="107" customFormat="false" ht="90" hidden="false" customHeight="true" outlineLevel="0" collapsed="false">
      <c r="A107" s="5" t="s">
        <v>42</v>
      </c>
      <c r="B107" s="5" t="s">
        <v>43</v>
      </c>
      <c r="C107" s="5" t="s">
        <v>633</v>
      </c>
      <c r="D107" s="5" t="s">
        <v>634</v>
      </c>
      <c r="E107" s="5"/>
      <c r="F107" s="5"/>
      <c r="G107" s="5" t="s">
        <v>46</v>
      </c>
      <c r="H107" s="5" t="s">
        <v>46</v>
      </c>
      <c r="I107" s="5" t="s">
        <v>155</v>
      </c>
      <c r="J107" s="5"/>
      <c r="K107" s="5" t="s">
        <v>156</v>
      </c>
      <c r="L107" s="5" t="n">
        <v>2020</v>
      </c>
      <c r="M107" s="5" t="n">
        <v>2020</v>
      </c>
      <c r="N107" s="5" t="s">
        <v>49</v>
      </c>
      <c r="O107" s="5" t="s">
        <v>652</v>
      </c>
      <c r="P107" s="5" t="s">
        <v>98</v>
      </c>
      <c r="Q107" s="5" t="s">
        <v>653</v>
      </c>
      <c r="R107" s="5" t="s">
        <v>654</v>
      </c>
      <c r="S107" s="5" t="s">
        <v>655</v>
      </c>
      <c r="T107" s="5" t="s">
        <v>656</v>
      </c>
      <c r="U107" s="5" t="s">
        <v>657</v>
      </c>
      <c r="V107" s="5" t="s">
        <v>104</v>
      </c>
      <c r="W107" s="5" t="s">
        <v>636</v>
      </c>
      <c r="X107" s="6"/>
      <c r="Y107" s="5" t="s">
        <v>58</v>
      </c>
    </row>
    <row r="108" customFormat="false" ht="90" hidden="false" customHeight="true" outlineLevel="0" collapsed="false">
      <c r="A108" s="5" t="s">
        <v>42</v>
      </c>
      <c r="B108" s="5" t="s">
        <v>43</v>
      </c>
      <c r="C108" s="5" t="s">
        <v>633</v>
      </c>
      <c r="D108" s="5" t="s">
        <v>634</v>
      </c>
      <c r="E108" s="5"/>
      <c r="F108" s="5"/>
      <c r="G108" s="5" t="s">
        <v>46</v>
      </c>
      <c r="H108" s="5" t="s">
        <v>46</v>
      </c>
      <c r="I108" s="5" t="s">
        <v>155</v>
      </c>
      <c r="J108" s="5"/>
      <c r="K108" s="5" t="s">
        <v>156</v>
      </c>
      <c r="L108" s="5" t="n">
        <v>2020</v>
      </c>
      <c r="M108" s="5" t="n">
        <v>2020</v>
      </c>
      <c r="N108" s="5" t="s">
        <v>49</v>
      </c>
      <c r="O108" s="5" t="s">
        <v>658</v>
      </c>
      <c r="P108" s="5" t="s">
        <v>51</v>
      </c>
      <c r="Q108" s="5" t="e">
        <f aca="false">cont.se(A3:G7;&gt;&gt;=30).</f>
        <v>#VALUE!</v>
      </c>
      <c r="R108" s="5" t="e">
        <f aca="false">cont.se(A3:G7;"&gt;=30").</f>
        <v>#VALUE!</v>
      </c>
      <c r="S108" s="5" t="e">
        <f aca="false">conte.se(A3:G7;&gt;=30).</f>
        <v>#VALUE!</v>
      </c>
      <c r="T108" s="5" t="e">
        <f aca="false">conte.se(A3:G7;"&gt;=30").</f>
        <v>#VALUE!</v>
      </c>
      <c r="U108" s="5" t="e">
        <f aca="false">conte.se(A3:G7;&gt;&gt;30).</f>
        <v>#VALUE!</v>
      </c>
      <c r="V108" s="5" t="s">
        <v>56</v>
      </c>
      <c r="W108" s="5" t="s">
        <v>636</v>
      </c>
      <c r="X108" s="6" t="s">
        <v>659</v>
      </c>
      <c r="Y108" s="5" t="s">
        <v>58</v>
      </c>
    </row>
    <row r="109" customFormat="false" ht="90" hidden="false" customHeight="true" outlineLevel="0" collapsed="false">
      <c r="A109" s="5" t="s">
        <v>42</v>
      </c>
      <c r="B109" s="5" t="s">
        <v>43</v>
      </c>
      <c r="C109" s="5" t="s">
        <v>660</v>
      </c>
      <c r="D109" s="5" t="s">
        <v>661</v>
      </c>
      <c r="E109" s="5"/>
      <c r="F109" s="5"/>
      <c r="G109" s="5" t="s">
        <v>46</v>
      </c>
      <c r="H109" s="5" t="s">
        <v>46</v>
      </c>
      <c r="I109" s="5" t="s">
        <v>249</v>
      </c>
      <c r="J109" s="5"/>
      <c r="K109" s="5" t="s">
        <v>261</v>
      </c>
      <c r="L109" s="5" t="n">
        <v>2019</v>
      </c>
      <c r="M109" s="5" t="n">
        <v>2019</v>
      </c>
      <c r="N109" s="5" t="s">
        <v>49</v>
      </c>
      <c r="O109" s="5" t="s">
        <v>662</v>
      </c>
      <c r="P109" s="5" t="s">
        <v>158</v>
      </c>
      <c r="Q109" s="5" t="s">
        <v>663</v>
      </c>
      <c r="R109" s="5" t="s">
        <v>664</v>
      </c>
      <c r="S109" s="5" t="s">
        <v>665</v>
      </c>
      <c r="T109" s="5" t="s">
        <v>666</v>
      </c>
      <c r="U109" s="5" t="s">
        <v>667</v>
      </c>
      <c r="V109" s="5" t="s">
        <v>162</v>
      </c>
      <c r="W109" s="5" t="s">
        <v>668</v>
      </c>
      <c r="X109" s="6" t="s">
        <v>669</v>
      </c>
      <c r="Y109" s="5" t="s">
        <v>58</v>
      </c>
    </row>
    <row r="110" customFormat="false" ht="90" hidden="false" customHeight="true" outlineLevel="0" collapsed="false">
      <c r="A110" s="5" t="s">
        <v>42</v>
      </c>
      <c r="B110" s="5" t="s">
        <v>43</v>
      </c>
      <c r="C110" s="5" t="s">
        <v>670</v>
      </c>
      <c r="D110" s="5" t="s">
        <v>671</v>
      </c>
      <c r="E110" s="5"/>
      <c r="F110" s="5"/>
      <c r="G110" s="5" t="s">
        <v>46</v>
      </c>
      <c r="H110" s="5" t="s">
        <v>46</v>
      </c>
      <c r="I110" s="5" t="s">
        <v>76</v>
      </c>
      <c r="J110" s="5"/>
      <c r="K110" s="5" t="s">
        <v>77</v>
      </c>
      <c r="L110" s="5" t="n">
        <v>2025</v>
      </c>
      <c r="M110" s="5" t="n">
        <v>2025</v>
      </c>
      <c r="N110" s="5" t="s">
        <v>49</v>
      </c>
      <c r="O110" s="5" t="s">
        <v>672</v>
      </c>
      <c r="P110" s="5" t="s">
        <v>60</v>
      </c>
      <c r="Q110" s="5" t="s">
        <v>673</v>
      </c>
      <c r="R110" s="5" t="s">
        <v>674</v>
      </c>
      <c r="S110" s="5" t="s">
        <v>675</v>
      </c>
      <c r="T110" s="5" t="s">
        <v>676</v>
      </c>
      <c r="U110" s="5" t="s">
        <v>677</v>
      </c>
      <c r="V110" s="5" t="s">
        <v>65</v>
      </c>
      <c r="W110" s="5" t="s">
        <v>678</v>
      </c>
      <c r="X110" s="6"/>
      <c r="Y110" s="5" t="s">
        <v>58</v>
      </c>
    </row>
    <row r="111" customFormat="false" ht="90" hidden="false" customHeight="true" outlineLevel="0" collapsed="false">
      <c r="A111" s="5" t="s">
        <v>42</v>
      </c>
      <c r="B111" s="5" t="s">
        <v>43</v>
      </c>
      <c r="C111" s="5" t="s">
        <v>670</v>
      </c>
      <c r="D111" s="5" t="s">
        <v>671</v>
      </c>
      <c r="E111" s="5"/>
      <c r="F111" s="5"/>
      <c r="G111" s="5" t="s">
        <v>46</v>
      </c>
      <c r="H111" s="5" t="s">
        <v>46</v>
      </c>
      <c r="I111" s="5" t="s">
        <v>126</v>
      </c>
      <c r="J111" s="5"/>
      <c r="K111" s="5" t="s">
        <v>127</v>
      </c>
      <c r="L111" s="5" t="n">
        <v>2025</v>
      </c>
      <c r="M111" s="5" t="n">
        <v>2025</v>
      </c>
      <c r="N111" s="5" t="s">
        <v>49</v>
      </c>
      <c r="O111" s="5" t="s">
        <v>679</v>
      </c>
      <c r="P111" s="5" t="s">
        <v>69</v>
      </c>
      <c r="Q111" s="5" t="s">
        <v>680</v>
      </c>
      <c r="R111" s="5" t="s">
        <v>681</v>
      </c>
      <c r="S111" s="5" t="s">
        <v>682</v>
      </c>
      <c r="T111" s="5" t="s">
        <v>683</v>
      </c>
      <c r="U111" s="5" t="s">
        <v>684</v>
      </c>
      <c r="V111" s="5" t="s">
        <v>75</v>
      </c>
      <c r="W111" s="5" t="s">
        <v>678</v>
      </c>
      <c r="X111" s="6"/>
      <c r="Y111" s="5" t="s">
        <v>58</v>
      </c>
    </row>
    <row r="112" customFormat="false" ht="90" hidden="false" customHeight="true" outlineLevel="0" collapsed="false">
      <c r="A112" s="5" t="s">
        <v>42</v>
      </c>
      <c r="B112" s="5" t="s">
        <v>43</v>
      </c>
      <c r="C112" s="5" t="s">
        <v>670</v>
      </c>
      <c r="D112" s="5" t="s">
        <v>671</v>
      </c>
      <c r="E112" s="5"/>
      <c r="F112" s="5"/>
      <c r="G112" s="5" t="s">
        <v>46</v>
      </c>
      <c r="H112" s="5" t="s">
        <v>46</v>
      </c>
      <c r="I112" s="5" t="s">
        <v>155</v>
      </c>
      <c r="J112" s="5"/>
      <c r="K112" s="5" t="s">
        <v>361</v>
      </c>
      <c r="L112" s="5" t="n">
        <v>2024</v>
      </c>
      <c r="M112" s="5" t="n">
        <v>2024</v>
      </c>
      <c r="N112" s="5" t="s">
        <v>49</v>
      </c>
      <c r="O112" s="5" t="s">
        <v>685</v>
      </c>
      <c r="P112" s="5" t="s">
        <v>69</v>
      </c>
      <c r="Q112" s="5" t="s">
        <v>123</v>
      </c>
      <c r="R112" s="5" t="s">
        <v>121</v>
      </c>
      <c r="S112" s="5" t="s">
        <v>122</v>
      </c>
      <c r="T112" s="5" t="s">
        <v>360</v>
      </c>
      <c r="U112" s="5" t="s">
        <v>467</v>
      </c>
      <c r="V112" s="5" t="s">
        <v>75</v>
      </c>
      <c r="W112" s="5" t="s">
        <v>678</v>
      </c>
      <c r="X112" s="6" t="s">
        <v>686</v>
      </c>
      <c r="Y112" s="5" t="s">
        <v>58</v>
      </c>
    </row>
    <row r="113" customFormat="false" ht="90" hidden="false" customHeight="true" outlineLevel="0" collapsed="false">
      <c r="A113" s="5" t="s">
        <v>42</v>
      </c>
      <c r="B113" s="5" t="s">
        <v>43</v>
      </c>
      <c r="C113" s="5" t="s">
        <v>670</v>
      </c>
      <c r="D113" s="5" t="s">
        <v>671</v>
      </c>
      <c r="E113" s="5"/>
      <c r="F113" s="5"/>
      <c r="G113" s="5" t="s">
        <v>46</v>
      </c>
      <c r="H113" s="5" t="s">
        <v>46</v>
      </c>
      <c r="I113" s="5" t="s">
        <v>363</v>
      </c>
      <c r="J113" s="5"/>
      <c r="K113" s="5" t="s">
        <v>364</v>
      </c>
      <c r="L113" s="5" t="n">
        <v>2023</v>
      </c>
      <c r="M113" s="5" t="n">
        <v>2023</v>
      </c>
      <c r="N113" s="5" t="s">
        <v>49</v>
      </c>
      <c r="O113" s="5" t="s">
        <v>687</v>
      </c>
      <c r="P113" s="5" t="s">
        <v>69</v>
      </c>
      <c r="Q113" s="5" t="e">
        <f aca="false">médiase(C3:C14;"&gt;3000";B3:B14)</f>
        <v>#VALUE!</v>
      </c>
      <c r="R113" s="5" t="e">
        <f aca="false">médiase(B3:B14;"&gt;3000";C3:C14)</f>
        <v>#VALUE!</v>
      </c>
      <c r="S113" s="5" t="e">
        <f aca="false">médiase(B3:B14;B3:B14;"&gt;3000")</f>
        <v>#VALUE!</v>
      </c>
      <c r="T113" s="5" t="e">
        <f aca="false">médiase(B3:B14;C3:C14;"&gt;3000")</f>
        <v>#VALUE!</v>
      </c>
      <c r="U113" s="5" t="e">
        <f aca="false">médiase(C3:C14;B3:B14;"&gt;3000")</f>
        <v>#VALUE!</v>
      </c>
      <c r="V113" s="5" t="s">
        <v>75</v>
      </c>
      <c r="W113" s="5" t="s">
        <v>678</v>
      </c>
      <c r="X113" s="6" t="s">
        <v>688</v>
      </c>
      <c r="Y113" s="5" t="s">
        <v>58</v>
      </c>
    </row>
    <row r="114" customFormat="false" ht="90" hidden="false" customHeight="true" outlineLevel="0" collapsed="false">
      <c r="A114" s="5" t="s">
        <v>42</v>
      </c>
      <c r="B114" s="5" t="s">
        <v>43</v>
      </c>
      <c r="C114" s="5" t="s">
        <v>670</v>
      </c>
      <c r="D114" s="5" t="s">
        <v>671</v>
      </c>
      <c r="E114" s="5"/>
      <c r="F114" s="5"/>
      <c r="G114" s="5" t="s">
        <v>46</v>
      </c>
      <c r="H114" s="5" t="s">
        <v>46</v>
      </c>
      <c r="I114" s="5" t="s">
        <v>140</v>
      </c>
      <c r="J114" s="5"/>
      <c r="K114" s="5" t="s">
        <v>141</v>
      </c>
      <c r="L114" s="5" t="n">
        <v>2023</v>
      </c>
      <c r="M114" s="5" t="n">
        <v>2023</v>
      </c>
      <c r="N114" s="5" t="s">
        <v>49</v>
      </c>
      <c r="O114" s="5" t="s">
        <v>689</v>
      </c>
      <c r="P114" s="5" t="s">
        <v>98</v>
      </c>
      <c r="Q114" s="5" t="s">
        <v>690</v>
      </c>
      <c r="R114" s="5" t="s">
        <v>691</v>
      </c>
      <c r="S114" s="5" t="s">
        <v>642</v>
      </c>
      <c r="T114" s="5" t="s">
        <v>692</v>
      </c>
      <c r="U114" s="5" t="s">
        <v>654</v>
      </c>
      <c r="V114" s="5" t="s">
        <v>104</v>
      </c>
      <c r="W114" s="5" t="s">
        <v>678</v>
      </c>
      <c r="X114" s="6"/>
      <c r="Y114" s="5" t="s">
        <v>58</v>
      </c>
    </row>
    <row r="115" customFormat="false" ht="90" hidden="false" customHeight="true" outlineLevel="0" collapsed="false">
      <c r="A115" s="5" t="s">
        <v>42</v>
      </c>
      <c r="B115" s="5" t="s">
        <v>43</v>
      </c>
      <c r="C115" s="5" t="s">
        <v>670</v>
      </c>
      <c r="D115" s="5" t="s">
        <v>671</v>
      </c>
      <c r="E115" s="5"/>
      <c r="F115" s="5"/>
      <c r="G115" s="5" t="s">
        <v>46</v>
      </c>
      <c r="H115" s="5" t="s">
        <v>46</v>
      </c>
      <c r="I115" s="5" t="s">
        <v>203</v>
      </c>
      <c r="J115" s="5"/>
      <c r="K115" s="5" t="s">
        <v>204</v>
      </c>
      <c r="L115" s="5" t="n">
        <v>2023</v>
      </c>
      <c r="M115" s="5" t="n">
        <v>2023</v>
      </c>
      <c r="N115" s="5" t="s">
        <v>49</v>
      </c>
      <c r="O115" s="5" t="s">
        <v>693</v>
      </c>
      <c r="P115" s="5" t="s">
        <v>69</v>
      </c>
      <c r="Q115" s="5" t="e">
        <f aca="false">somase(A1:A11;"VERDADEIRO";B1:B11).</f>
        <v>#VALUE!</v>
      </c>
      <c r="R115" s="5" t="e">
        <f aca="false">somase(a[1:10];"VERDADEIRO";b[1:10]).</f>
        <v>#N/A</v>
      </c>
      <c r="S115" s="5" t="e">
        <f aca="false">somase("VERDADEIRO";A1:A11;B1:B11).</f>
        <v>#VALUE!</v>
      </c>
      <c r="T115" s="5" t="e">
        <f aca="false">somase("VERDADEIRO";a[1:10];b[1:10]).</f>
        <v>#N/A</v>
      </c>
      <c r="U115" s="5" t="e">
        <f aca="false">somase("VERDADEIRO";A1:10;B1:10).</f>
        <v>#VALUE!</v>
      </c>
      <c r="V115" s="5" t="s">
        <v>75</v>
      </c>
      <c r="W115" s="5" t="s">
        <v>678</v>
      </c>
      <c r="X115" s="6"/>
      <c r="Y115" s="5" t="s">
        <v>58</v>
      </c>
    </row>
    <row r="116" customFormat="false" ht="90" hidden="false" customHeight="true" outlineLevel="0" collapsed="false">
      <c r="A116" s="5" t="s">
        <v>42</v>
      </c>
      <c r="B116" s="5" t="s">
        <v>43</v>
      </c>
      <c r="C116" s="5" t="s">
        <v>670</v>
      </c>
      <c r="D116" s="5" t="s">
        <v>671</v>
      </c>
      <c r="E116" s="5"/>
      <c r="F116" s="5"/>
      <c r="G116" s="5" t="s">
        <v>46</v>
      </c>
      <c r="H116" s="5" t="s">
        <v>46</v>
      </c>
      <c r="I116" s="5" t="s">
        <v>209</v>
      </c>
      <c r="J116" s="5"/>
      <c r="K116" s="5" t="s">
        <v>210</v>
      </c>
      <c r="L116" s="5" t="n">
        <v>2022</v>
      </c>
      <c r="M116" s="5" t="n">
        <v>2022</v>
      </c>
      <c r="N116" s="5" t="s">
        <v>49</v>
      </c>
      <c r="O116" s="5" t="s">
        <v>694</v>
      </c>
      <c r="P116" s="5" t="s">
        <v>51</v>
      </c>
      <c r="Q116" s="5" t="s">
        <v>695</v>
      </c>
      <c r="R116" s="5" t="s">
        <v>696</v>
      </c>
      <c r="S116" s="5" t="s">
        <v>697</v>
      </c>
      <c r="T116" s="5" t="s">
        <v>698</v>
      </c>
      <c r="U116" s="5" t="s">
        <v>699</v>
      </c>
      <c r="V116" s="5" t="s">
        <v>56</v>
      </c>
      <c r="W116" s="5" t="s">
        <v>678</v>
      </c>
      <c r="X116" s="6"/>
      <c r="Y116" s="5" t="s">
        <v>58</v>
      </c>
    </row>
    <row r="117" customFormat="false" ht="90" hidden="false" customHeight="true" outlineLevel="0" collapsed="false">
      <c r="A117" s="5" t="s">
        <v>42</v>
      </c>
      <c r="B117" s="5" t="s">
        <v>43</v>
      </c>
      <c r="C117" s="5" t="s">
        <v>700</v>
      </c>
      <c r="D117" s="5" t="s">
        <v>701</v>
      </c>
      <c r="E117" s="5"/>
      <c r="F117" s="5"/>
      <c r="G117" s="5" t="s">
        <v>46</v>
      </c>
      <c r="H117" s="5" t="s">
        <v>46</v>
      </c>
      <c r="I117" s="5" t="s">
        <v>126</v>
      </c>
      <c r="J117" s="5"/>
      <c r="K117" s="5" t="s">
        <v>127</v>
      </c>
      <c r="L117" s="5" t="n">
        <v>2025</v>
      </c>
      <c r="M117" s="5" t="n">
        <v>2025</v>
      </c>
      <c r="N117" s="5" t="s">
        <v>49</v>
      </c>
      <c r="O117" s="5" t="s">
        <v>702</v>
      </c>
      <c r="P117" s="5" t="s">
        <v>69</v>
      </c>
      <c r="Q117" s="5" t="s">
        <v>703</v>
      </c>
      <c r="R117" s="5" t="s">
        <v>704</v>
      </c>
      <c r="S117" s="5" t="s">
        <v>705</v>
      </c>
      <c r="T117" s="5" t="s">
        <v>706</v>
      </c>
      <c r="U117" s="5" t="s">
        <v>707</v>
      </c>
      <c r="V117" s="5" t="s">
        <v>75</v>
      </c>
      <c r="W117" s="5" t="s">
        <v>708</v>
      </c>
      <c r="X117" s="6"/>
      <c r="Y117" s="5" t="s">
        <v>58</v>
      </c>
    </row>
    <row r="118" customFormat="false" ht="90" hidden="false" customHeight="true" outlineLevel="0" collapsed="false">
      <c r="A118" s="5" t="s">
        <v>42</v>
      </c>
      <c r="B118" s="5" t="s">
        <v>43</v>
      </c>
      <c r="C118" s="5" t="s">
        <v>700</v>
      </c>
      <c r="D118" s="5" t="s">
        <v>701</v>
      </c>
      <c r="E118" s="5"/>
      <c r="F118" s="5"/>
      <c r="G118" s="5" t="s">
        <v>46</v>
      </c>
      <c r="H118" s="5" t="s">
        <v>46</v>
      </c>
      <c r="I118" s="5" t="s">
        <v>126</v>
      </c>
      <c r="J118" s="5"/>
      <c r="K118" s="5" t="s">
        <v>127</v>
      </c>
      <c r="L118" s="5" t="n">
        <v>2025</v>
      </c>
      <c r="M118" s="5" t="n">
        <v>2025</v>
      </c>
      <c r="N118" s="5" t="s">
        <v>49</v>
      </c>
      <c r="O118" s="5" t="s">
        <v>709</v>
      </c>
      <c r="P118" s="5" t="s">
        <v>158</v>
      </c>
      <c r="Q118" s="5" t="s">
        <v>710</v>
      </c>
      <c r="R118" s="5" t="s">
        <v>711</v>
      </c>
      <c r="S118" s="5" t="s">
        <v>712</v>
      </c>
      <c r="T118" s="5" t="s">
        <v>713</v>
      </c>
      <c r="U118" s="5" t="s">
        <v>714</v>
      </c>
      <c r="V118" s="5" t="s">
        <v>162</v>
      </c>
      <c r="W118" s="5" t="s">
        <v>708</v>
      </c>
      <c r="X118" s="6"/>
      <c r="Y118" s="5" t="s">
        <v>58</v>
      </c>
    </row>
    <row r="119" customFormat="false" ht="90" hidden="false" customHeight="true" outlineLevel="0" collapsed="false">
      <c r="A119" s="5" t="s">
        <v>42</v>
      </c>
      <c r="B119" s="5" t="s">
        <v>43</v>
      </c>
      <c r="C119" s="5" t="s">
        <v>715</v>
      </c>
      <c r="D119" s="5" t="s">
        <v>716</v>
      </c>
      <c r="E119" s="5"/>
      <c r="F119" s="5"/>
      <c r="G119" s="5" t="s">
        <v>46</v>
      </c>
      <c r="H119" s="5" t="s">
        <v>46</v>
      </c>
      <c r="I119" s="5" t="s">
        <v>47</v>
      </c>
      <c r="J119" s="5"/>
      <c r="K119" s="5" t="s">
        <v>48</v>
      </c>
      <c r="L119" s="5" t="n">
        <v>2026</v>
      </c>
      <c r="M119" s="5" t="n">
        <v>2026</v>
      </c>
      <c r="N119" s="5" t="s">
        <v>49</v>
      </c>
      <c r="O119" s="5" t="s">
        <v>717</v>
      </c>
      <c r="P119" s="5" t="s">
        <v>51</v>
      </c>
      <c r="Q119" s="5" t="s">
        <v>718</v>
      </c>
      <c r="R119" s="5" t="s">
        <v>719</v>
      </c>
      <c r="S119" s="5" t="s">
        <v>720</v>
      </c>
      <c r="T119" s="5" t="s">
        <v>721</v>
      </c>
      <c r="U119" s="5"/>
      <c r="V119" s="5" t="s">
        <v>56</v>
      </c>
      <c r="W119" s="5" t="s">
        <v>722</v>
      </c>
      <c r="X119" s="6"/>
      <c r="Y119" s="5" t="s">
        <v>58</v>
      </c>
    </row>
    <row r="120" customFormat="false" ht="90" hidden="false" customHeight="true" outlineLevel="0" collapsed="false">
      <c r="A120" s="5" t="s">
        <v>42</v>
      </c>
      <c r="B120" s="5" t="s">
        <v>43</v>
      </c>
      <c r="C120" s="5" t="s">
        <v>723</v>
      </c>
      <c r="D120" s="5" t="s">
        <v>724</v>
      </c>
      <c r="E120" s="5"/>
      <c r="F120" s="5"/>
      <c r="G120" s="5" t="s">
        <v>46</v>
      </c>
      <c r="H120" s="5" t="s">
        <v>46</v>
      </c>
      <c r="I120" s="5" t="s">
        <v>47</v>
      </c>
      <c r="J120" s="5"/>
      <c r="K120" s="5" t="s">
        <v>48</v>
      </c>
      <c r="L120" s="5" t="n">
        <v>2026</v>
      </c>
      <c r="M120" s="5" t="n">
        <v>2026</v>
      </c>
      <c r="N120" s="5" t="s">
        <v>49</v>
      </c>
      <c r="O120" s="5" t="s">
        <v>725</v>
      </c>
      <c r="P120" s="5" t="s">
        <v>51</v>
      </c>
      <c r="Q120" s="5" t="s">
        <v>385</v>
      </c>
      <c r="R120" s="5" t="s">
        <v>726</v>
      </c>
      <c r="S120" s="5" t="s">
        <v>727</v>
      </c>
      <c r="T120" s="5" t="s">
        <v>387</v>
      </c>
      <c r="U120" s="5"/>
      <c r="V120" s="5" t="s">
        <v>56</v>
      </c>
      <c r="W120" s="5" t="s">
        <v>728</v>
      </c>
      <c r="X120" s="6"/>
      <c r="Y120" s="5" t="s">
        <v>58</v>
      </c>
    </row>
    <row r="121" customFormat="false" ht="90" hidden="false" customHeight="true" outlineLevel="0" collapsed="false">
      <c r="A121" s="5" t="s">
        <v>42</v>
      </c>
      <c r="B121" s="5" t="s">
        <v>43</v>
      </c>
      <c r="C121" s="5" t="s">
        <v>723</v>
      </c>
      <c r="D121" s="5" t="s">
        <v>724</v>
      </c>
      <c r="E121" s="5"/>
      <c r="F121" s="5"/>
      <c r="G121" s="5" t="s">
        <v>46</v>
      </c>
      <c r="H121" s="5" t="s">
        <v>46</v>
      </c>
      <c r="I121" s="5" t="s">
        <v>47</v>
      </c>
      <c r="J121" s="5"/>
      <c r="K121" s="5" t="s">
        <v>48</v>
      </c>
      <c r="L121" s="5" t="n">
        <v>2026</v>
      </c>
      <c r="M121" s="5" t="n">
        <v>2026</v>
      </c>
      <c r="N121" s="5" t="s">
        <v>49</v>
      </c>
      <c r="O121" s="5" t="s">
        <v>729</v>
      </c>
      <c r="P121" s="5" t="s">
        <v>158</v>
      </c>
      <c r="Q121" s="5" t="s">
        <v>730</v>
      </c>
      <c r="R121" s="5" t="s">
        <v>731</v>
      </c>
      <c r="S121" s="5" t="s">
        <v>732</v>
      </c>
      <c r="T121" s="5" t="s">
        <v>733</v>
      </c>
      <c r="U121" s="5"/>
      <c r="V121" s="5" t="s">
        <v>162</v>
      </c>
      <c r="W121" s="5" t="s">
        <v>728</v>
      </c>
      <c r="X121" s="6"/>
      <c r="Y121" s="5" t="s">
        <v>58</v>
      </c>
    </row>
    <row r="122" customFormat="false" ht="90" hidden="false" customHeight="true" outlineLevel="0" collapsed="false">
      <c r="A122" s="5" t="s">
        <v>42</v>
      </c>
      <c r="B122" s="5" t="s">
        <v>43</v>
      </c>
      <c r="C122" s="5" t="s">
        <v>723</v>
      </c>
      <c r="D122" s="5" t="s">
        <v>724</v>
      </c>
      <c r="E122" s="5"/>
      <c r="F122" s="5"/>
      <c r="G122" s="5" t="s">
        <v>46</v>
      </c>
      <c r="H122" s="5" t="s">
        <v>46</v>
      </c>
      <c r="I122" s="5" t="s">
        <v>84</v>
      </c>
      <c r="J122" s="5"/>
      <c r="K122" s="5" t="s">
        <v>85</v>
      </c>
      <c r="L122" s="5" t="n">
        <v>2025</v>
      </c>
      <c r="M122" s="5" t="n">
        <v>2025</v>
      </c>
      <c r="N122" s="5" t="s">
        <v>49</v>
      </c>
      <c r="O122" s="5" t="s">
        <v>734</v>
      </c>
      <c r="P122" s="5" t="s">
        <v>158</v>
      </c>
      <c r="Q122" s="5" t="s">
        <v>735</v>
      </c>
      <c r="R122" s="5" t="s">
        <v>736</v>
      </c>
      <c r="S122" s="5" t="s">
        <v>737</v>
      </c>
      <c r="T122" s="5" t="s">
        <v>738</v>
      </c>
      <c r="U122" s="5"/>
      <c r="V122" s="5" t="s">
        <v>162</v>
      </c>
      <c r="W122" s="5" t="s">
        <v>728</v>
      </c>
      <c r="X122" s="6"/>
      <c r="Y122" s="5" t="s">
        <v>58</v>
      </c>
    </row>
    <row r="123" customFormat="false" ht="90" hidden="false" customHeight="true" outlineLevel="0" collapsed="false">
      <c r="A123" s="5" t="s">
        <v>42</v>
      </c>
      <c r="B123" s="5" t="s">
        <v>43</v>
      </c>
      <c r="C123" s="5" t="s">
        <v>739</v>
      </c>
      <c r="D123" s="5" t="s">
        <v>740</v>
      </c>
      <c r="E123" s="5"/>
      <c r="F123" s="5"/>
      <c r="G123" s="5" t="s">
        <v>46</v>
      </c>
      <c r="H123" s="5" t="s">
        <v>46</v>
      </c>
      <c r="I123" s="5" t="s">
        <v>84</v>
      </c>
      <c r="J123" s="5"/>
      <c r="K123" s="5" t="s">
        <v>85</v>
      </c>
      <c r="L123" s="5" t="n">
        <v>2025</v>
      </c>
      <c r="M123" s="5" t="n">
        <v>2025</v>
      </c>
      <c r="N123" s="5" t="s">
        <v>49</v>
      </c>
      <c r="O123" s="5" t="s">
        <v>741</v>
      </c>
      <c r="P123" s="5" t="s">
        <v>69</v>
      </c>
      <c r="Q123" s="5" t="s">
        <v>742</v>
      </c>
      <c r="R123" s="5" t="s">
        <v>743</v>
      </c>
      <c r="S123" s="5" t="s">
        <v>744</v>
      </c>
      <c r="T123" s="5" t="s">
        <v>745</v>
      </c>
      <c r="U123" s="5"/>
      <c r="V123" s="5" t="s">
        <v>75</v>
      </c>
      <c r="W123" s="5" t="s">
        <v>746</v>
      </c>
      <c r="X123" s="6"/>
      <c r="Y123" s="5" t="s">
        <v>58</v>
      </c>
    </row>
    <row r="124" customFormat="false" ht="90" hidden="false" customHeight="true" outlineLevel="0" collapsed="false">
      <c r="A124" s="5" t="s">
        <v>42</v>
      </c>
      <c r="B124" s="5" t="s">
        <v>43</v>
      </c>
      <c r="C124" s="5" t="s">
        <v>739</v>
      </c>
      <c r="D124" s="5" t="s">
        <v>740</v>
      </c>
      <c r="E124" s="5"/>
      <c r="F124" s="5"/>
      <c r="G124" s="5" t="s">
        <v>46</v>
      </c>
      <c r="H124" s="5" t="s">
        <v>46</v>
      </c>
      <c r="I124" s="5" t="s">
        <v>283</v>
      </c>
      <c r="J124" s="5"/>
      <c r="K124" s="5" t="s">
        <v>284</v>
      </c>
      <c r="L124" s="5" t="n">
        <v>2024</v>
      </c>
      <c r="M124" s="5" t="n">
        <v>2024</v>
      </c>
      <c r="N124" s="5" t="s">
        <v>49</v>
      </c>
      <c r="O124" s="5" t="s">
        <v>747</v>
      </c>
      <c r="P124" s="5" t="s">
        <v>98</v>
      </c>
      <c r="Q124" s="5" t="s">
        <v>748</v>
      </c>
      <c r="R124" s="5" t="s">
        <v>749</v>
      </c>
      <c r="S124" s="5" t="s">
        <v>750</v>
      </c>
      <c r="T124" s="5" t="s">
        <v>751</v>
      </c>
      <c r="U124" s="5" t="s">
        <v>752</v>
      </c>
      <c r="V124" s="5" t="s">
        <v>104</v>
      </c>
      <c r="W124" s="5" t="s">
        <v>746</v>
      </c>
      <c r="X124" s="6"/>
      <c r="Y124" s="5" t="s">
        <v>58</v>
      </c>
    </row>
    <row r="125" customFormat="false" ht="90" hidden="false" customHeight="true" outlineLevel="0" collapsed="false">
      <c r="A125" s="5" t="s">
        <v>42</v>
      </c>
      <c r="B125" s="5" t="s">
        <v>43</v>
      </c>
      <c r="C125" s="5" t="s">
        <v>739</v>
      </c>
      <c r="D125" s="5" t="s">
        <v>740</v>
      </c>
      <c r="E125" s="5"/>
      <c r="F125" s="5"/>
      <c r="G125" s="5" t="s">
        <v>46</v>
      </c>
      <c r="H125" s="5" t="s">
        <v>46</v>
      </c>
      <c r="I125" s="5" t="s">
        <v>140</v>
      </c>
      <c r="J125" s="5"/>
      <c r="K125" s="5" t="s">
        <v>141</v>
      </c>
      <c r="L125" s="5" t="n">
        <v>2023</v>
      </c>
      <c r="M125" s="5" t="n">
        <v>2023</v>
      </c>
      <c r="N125" s="5" t="s">
        <v>49</v>
      </c>
      <c r="O125" s="5" t="s">
        <v>753</v>
      </c>
      <c r="P125" s="5" t="s">
        <v>158</v>
      </c>
      <c r="Q125" s="5" t="s">
        <v>122</v>
      </c>
      <c r="R125" s="5" t="s">
        <v>206</v>
      </c>
      <c r="S125" s="5" t="s">
        <v>123</v>
      </c>
      <c r="T125" s="5" t="s">
        <v>754</v>
      </c>
      <c r="U125" s="5" t="s">
        <v>208</v>
      </c>
      <c r="V125" s="5" t="s">
        <v>162</v>
      </c>
      <c r="W125" s="5" t="s">
        <v>746</v>
      </c>
      <c r="X125" s="6"/>
      <c r="Y125" s="5" t="s">
        <v>58</v>
      </c>
    </row>
    <row r="126" customFormat="false" ht="90" hidden="false" customHeight="true" outlineLevel="0" collapsed="false">
      <c r="A126" s="5" t="s">
        <v>42</v>
      </c>
      <c r="B126" s="5" t="s">
        <v>43</v>
      </c>
      <c r="C126" s="5" t="s">
        <v>739</v>
      </c>
      <c r="D126" s="5" t="s">
        <v>740</v>
      </c>
      <c r="E126" s="5"/>
      <c r="F126" s="5"/>
      <c r="G126" s="5" t="s">
        <v>46</v>
      </c>
      <c r="H126" s="5" t="s">
        <v>46</v>
      </c>
      <c r="I126" s="5" t="s">
        <v>147</v>
      </c>
      <c r="J126" s="5"/>
      <c r="K126" s="5" t="s">
        <v>148</v>
      </c>
      <c r="L126" s="5" t="n">
        <v>2022</v>
      </c>
      <c r="M126" s="5" t="n">
        <v>2022</v>
      </c>
      <c r="N126" s="5" t="s">
        <v>49</v>
      </c>
      <c r="O126" s="5" t="s">
        <v>755</v>
      </c>
      <c r="P126" s="5" t="s">
        <v>60</v>
      </c>
      <c r="Q126" s="5" t="s">
        <v>122</v>
      </c>
      <c r="R126" s="5" t="s">
        <v>121</v>
      </c>
      <c r="S126" s="5" t="s">
        <v>360</v>
      </c>
      <c r="T126" s="5" t="s">
        <v>123</v>
      </c>
      <c r="U126" s="5" t="s">
        <v>119</v>
      </c>
      <c r="V126" s="5" t="s">
        <v>65</v>
      </c>
      <c r="W126" s="5" t="s">
        <v>746</v>
      </c>
      <c r="X126" s="6"/>
      <c r="Y126" s="5" t="s">
        <v>58</v>
      </c>
    </row>
    <row r="127" customFormat="false" ht="90" hidden="false" customHeight="true" outlineLevel="0" collapsed="false">
      <c r="A127" s="5" t="s">
        <v>42</v>
      </c>
      <c r="B127" s="5" t="s">
        <v>43</v>
      </c>
      <c r="C127" s="5" t="s">
        <v>739</v>
      </c>
      <c r="D127" s="5" t="s">
        <v>740</v>
      </c>
      <c r="E127" s="5"/>
      <c r="F127" s="5"/>
      <c r="G127" s="5" t="s">
        <v>46</v>
      </c>
      <c r="H127" s="5" t="s">
        <v>46</v>
      </c>
      <c r="I127" s="5" t="s">
        <v>155</v>
      </c>
      <c r="J127" s="5"/>
      <c r="K127" s="5" t="s">
        <v>156</v>
      </c>
      <c r="L127" s="5" t="n">
        <v>2020</v>
      </c>
      <c r="M127" s="5" t="n">
        <v>2020</v>
      </c>
      <c r="N127" s="5" t="s">
        <v>49</v>
      </c>
      <c r="O127" s="5" t="s">
        <v>756</v>
      </c>
      <c r="P127" s="5" t="s">
        <v>352</v>
      </c>
      <c r="Q127" s="5" t="s">
        <v>757</v>
      </c>
      <c r="R127" s="5" t="s">
        <v>758</v>
      </c>
      <c r="S127" s="5" t="s">
        <v>759</v>
      </c>
      <c r="T127" s="5" t="s">
        <v>760</v>
      </c>
      <c r="U127" s="5" t="s">
        <v>761</v>
      </c>
      <c r="V127" s="5"/>
      <c r="W127" s="5" t="s">
        <v>746</v>
      </c>
      <c r="X127" s="6"/>
      <c r="Y127" s="5" t="s">
        <v>58</v>
      </c>
    </row>
    <row r="128" customFormat="false" ht="90" hidden="false" customHeight="true" outlineLevel="0" collapsed="false">
      <c r="A128" s="5" t="s">
        <v>42</v>
      </c>
      <c r="B128" s="5" t="s">
        <v>43</v>
      </c>
      <c r="C128" s="5" t="s">
        <v>762</v>
      </c>
      <c r="D128" s="5" t="s">
        <v>763</v>
      </c>
      <c r="E128" s="5"/>
      <c r="F128" s="5"/>
      <c r="G128" s="5" t="s">
        <v>46</v>
      </c>
      <c r="H128" s="5" t="s">
        <v>46</v>
      </c>
      <c r="I128" s="5" t="s">
        <v>84</v>
      </c>
      <c r="J128" s="5"/>
      <c r="K128" s="5" t="s">
        <v>85</v>
      </c>
      <c r="L128" s="5" t="n">
        <v>2025</v>
      </c>
      <c r="M128" s="5" t="n">
        <v>2025</v>
      </c>
      <c r="N128" s="5" t="s">
        <v>49</v>
      </c>
      <c r="O128" s="5" t="s">
        <v>764</v>
      </c>
      <c r="P128" s="5" t="s">
        <v>51</v>
      </c>
      <c r="Q128" s="5" t="s">
        <v>765</v>
      </c>
      <c r="R128" s="5" t="s">
        <v>766</v>
      </c>
      <c r="S128" s="5" t="s">
        <v>767</v>
      </c>
      <c r="T128" s="5" t="s">
        <v>768</v>
      </c>
      <c r="U128" s="5"/>
      <c r="V128" s="5" t="s">
        <v>56</v>
      </c>
      <c r="W128" s="5" t="s">
        <v>769</v>
      </c>
      <c r="X128" s="6"/>
      <c r="Y128" s="5" t="s">
        <v>58</v>
      </c>
    </row>
    <row r="129" customFormat="false" ht="90" hidden="false" customHeight="true" outlineLevel="0" collapsed="false">
      <c r="A129" s="5" t="s">
        <v>42</v>
      </c>
      <c r="B129" s="5" t="s">
        <v>43</v>
      </c>
      <c r="C129" s="5" t="s">
        <v>762</v>
      </c>
      <c r="D129" s="5" t="s">
        <v>763</v>
      </c>
      <c r="E129" s="5"/>
      <c r="F129" s="5"/>
      <c r="G129" s="5" t="s">
        <v>46</v>
      </c>
      <c r="H129" s="5" t="s">
        <v>46</v>
      </c>
      <c r="I129" s="5" t="s">
        <v>249</v>
      </c>
      <c r="J129" s="5"/>
      <c r="K129" s="5" t="s">
        <v>250</v>
      </c>
      <c r="L129" s="5" t="n">
        <v>2020</v>
      </c>
      <c r="M129" s="5" t="n">
        <v>2020</v>
      </c>
      <c r="N129" s="5" t="s">
        <v>49</v>
      </c>
      <c r="O129" s="5" t="s">
        <v>770</v>
      </c>
      <c r="P129" s="5" t="s">
        <v>60</v>
      </c>
      <c r="Q129" s="5" t="s">
        <v>771</v>
      </c>
      <c r="R129" s="5" t="s">
        <v>772</v>
      </c>
      <c r="S129" s="5" t="s">
        <v>773</v>
      </c>
      <c r="T129" s="5" t="s">
        <v>774</v>
      </c>
      <c r="U129" s="5" t="s">
        <v>775</v>
      </c>
      <c r="V129" s="5" t="s">
        <v>65</v>
      </c>
      <c r="W129" s="5" t="s">
        <v>769</v>
      </c>
      <c r="X129" s="6"/>
      <c r="Y129" s="5" t="s">
        <v>58</v>
      </c>
    </row>
    <row r="130" customFormat="false" ht="90" hidden="false" customHeight="true" outlineLevel="0" collapsed="false">
      <c r="A130" s="5" t="s">
        <v>42</v>
      </c>
      <c r="B130" s="5" t="s">
        <v>43</v>
      </c>
      <c r="C130" s="5" t="s">
        <v>762</v>
      </c>
      <c r="D130" s="5" t="s">
        <v>763</v>
      </c>
      <c r="E130" s="5"/>
      <c r="F130" s="5"/>
      <c r="G130" s="5" t="s">
        <v>46</v>
      </c>
      <c r="H130" s="5" t="s">
        <v>46</v>
      </c>
      <c r="I130" s="5" t="s">
        <v>155</v>
      </c>
      <c r="J130" s="5"/>
      <c r="K130" s="5" t="s">
        <v>156</v>
      </c>
      <c r="L130" s="5" t="n">
        <v>2020</v>
      </c>
      <c r="M130" s="5" t="n">
        <v>2020</v>
      </c>
      <c r="N130" s="5" t="s">
        <v>49</v>
      </c>
      <c r="O130" s="5" t="s">
        <v>776</v>
      </c>
      <c r="P130" s="5" t="s">
        <v>51</v>
      </c>
      <c r="Q130" s="5" t="s">
        <v>777</v>
      </c>
      <c r="R130" s="5" t="s">
        <v>778</v>
      </c>
      <c r="S130" s="5" t="s">
        <v>779</v>
      </c>
      <c r="T130" s="5" t="s">
        <v>780</v>
      </c>
      <c r="U130" s="5" t="s">
        <v>781</v>
      </c>
      <c r="V130" s="5" t="s">
        <v>56</v>
      </c>
      <c r="W130" s="5" t="s">
        <v>769</v>
      </c>
      <c r="X130" s="6"/>
      <c r="Y130" s="5" t="s">
        <v>58</v>
      </c>
    </row>
    <row r="131" customFormat="false" ht="90" hidden="false" customHeight="true" outlineLevel="0" collapsed="false">
      <c r="A131" s="5" t="s">
        <v>42</v>
      </c>
      <c r="B131" s="5" t="s">
        <v>43</v>
      </c>
      <c r="C131" s="5" t="s">
        <v>782</v>
      </c>
      <c r="D131" s="5" t="s">
        <v>783</v>
      </c>
      <c r="E131" s="5"/>
      <c r="F131" s="5"/>
      <c r="G131" s="5" t="s">
        <v>46</v>
      </c>
      <c r="H131" s="5" t="s">
        <v>46</v>
      </c>
      <c r="I131" s="5" t="s">
        <v>218</v>
      </c>
      <c r="J131" s="5"/>
      <c r="K131" s="5" t="s">
        <v>219</v>
      </c>
      <c r="L131" s="5" t="n">
        <v>2020</v>
      </c>
      <c r="M131" s="5" t="n">
        <v>2020</v>
      </c>
      <c r="N131" s="5" t="s">
        <v>49</v>
      </c>
      <c r="O131" s="5" t="s">
        <v>784</v>
      </c>
      <c r="P131" s="5" t="s">
        <v>352</v>
      </c>
      <c r="Q131" s="5" t="s">
        <v>785</v>
      </c>
      <c r="R131" s="5" t="s">
        <v>786</v>
      </c>
      <c r="S131" s="5" t="s">
        <v>549</v>
      </c>
      <c r="T131" s="5" t="s">
        <v>787</v>
      </c>
      <c r="U131" s="5" t="s">
        <v>788</v>
      </c>
      <c r="V131" s="5"/>
      <c r="W131" s="5" t="s">
        <v>789</v>
      </c>
      <c r="X131" s="6"/>
      <c r="Y131" s="5" t="s">
        <v>58</v>
      </c>
    </row>
    <row r="132" customFormat="false" ht="90" hidden="false" customHeight="true" outlineLevel="0" collapsed="false">
      <c r="A132" s="5" t="s">
        <v>42</v>
      </c>
      <c r="B132" s="5" t="s">
        <v>43</v>
      </c>
      <c r="C132" s="5" t="s">
        <v>782</v>
      </c>
      <c r="D132" s="5" t="s">
        <v>783</v>
      </c>
      <c r="E132" s="5"/>
      <c r="F132" s="5"/>
      <c r="G132" s="5" t="s">
        <v>46</v>
      </c>
      <c r="H132" s="5" t="s">
        <v>46</v>
      </c>
      <c r="I132" s="5" t="s">
        <v>218</v>
      </c>
      <c r="J132" s="5"/>
      <c r="K132" s="5" t="s">
        <v>219</v>
      </c>
      <c r="L132" s="5" t="n">
        <v>2020</v>
      </c>
      <c r="M132" s="5" t="n">
        <v>2020</v>
      </c>
      <c r="N132" s="5" t="s">
        <v>49</v>
      </c>
      <c r="O132" s="5" t="s">
        <v>790</v>
      </c>
      <c r="P132" s="5" t="s">
        <v>158</v>
      </c>
      <c r="Q132" s="5" t="s">
        <v>785</v>
      </c>
      <c r="R132" s="5" t="s">
        <v>791</v>
      </c>
      <c r="S132" s="5" t="s">
        <v>792</v>
      </c>
      <c r="T132" s="5" t="s">
        <v>786</v>
      </c>
      <c r="U132" s="5" t="s">
        <v>788</v>
      </c>
      <c r="V132" s="5" t="s">
        <v>162</v>
      </c>
      <c r="W132" s="5" t="s">
        <v>789</v>
      </c>
      <c r="X132" s="6" t="s">
        <v>793</v>
      </c>
      <c r="Y132" s="5" t="s">
        <v>58</v>
      </c>
    </row>
    <row r="133" customFormat="false" ht="90" hidden="false" customHeight="true" outlineLevel="0" collapsed="false">
      <c r="A133" s="5" t="s">
        <v>42</v>
      </c>
      <c r="B133" s="5" t="s">
        <v>43</v>
      </c>
      <c r="C133" s="5" t="s">
        <v>794</v>
      </c>
      <c r="D133" s="5" t="s">
        <v>795</v>
      </c>
      <c r="E133" s="5"/>
      <c r="F133" s="5"/>
      <c r="G133" s="5" t="s">
        <v>46</v>
      </c>
      <c r="H133" s="5" t="s">
        <v>46</v>
      </c>
      <c r="I133" s="5" t="s">
        <v>140</v>
      </c>
      <c r="J133" s="5"/>
      <c r="K133" s="5" t="s">
        <v>141</v>
      </c>
      <c r="L133" s="5" t="n">
        <v>2023</v>
      </c>
      <c r="M133" s="5" t="n">
        <v>2023</v>
      </c>
      <c r="N133" s="5" t="s">
        <v>49</v>
      </c>
      <c r="O133" s="5" t="s">
        <v>796</v>
      </c>
      <c r="P133" s="5" t="s">
        <v>51</v>
      </c>
      <c r="Q133" s="5" t="s">
        <v>164</v>
      </c>
      <c r="R133" s="5" t="s">
        <v>609</v>
      </c>
      <c r="S133" s="5" t="s">
        <v>232</v>
      </c>
      <c r="T133" s="5" t="s">
        <v>797</v>
      </c>
      <c r="U133" s="5" t="s">
        <v>234</v>
      </c>
      <c r="V133" s="5" t="s">
        <v>56</v>
      </c>
      <c r="W133" s="5" t="s">
        <v>798</v>
      </c>
      <c r="X133" s="6" t="s">
        <v>799</v>
      </c>
      <c r="Y133" s="5" t="s">
        <v>58</v>
      </c>
    </row>
    <row r="134" customFormat="false" ht="90" hidden="false" customHeight="true" outlineLevel="0" collapsed="false">
      <c r="A134" s="5" t="s">
        <v>42</v>
      </c>
      <c r="B134" s="5" t="s">
        <v>43</v>
      </c>
      <c r="C134" s="5" t="s">
        <v>794</v>
      </c>
      <c r="D134" s="5" t="s">
        <v>795</v>
      </c>
      <c r="E134" s="5"/>
      <c r="F134" s="5"/>
      <c r="G134" s="5" t="s">
        <v>46</v>
      </c>
      <c r="H134" s="5" t="s">
        <v>46</v>
      </c>
      <c r="I134" s="5" t="s">
        <v>363</v>
      </c>
      <c r="J134" s="5"/>
      <c r="K134" s="5" t="s">
        <v>364</v>
      </c>
      <c r="L134" s="5" t="n">
        <v>2023</v>
      </c>
      <c r="M134" s="5" t="n">
        <v>2023</v>
      </c>
      <c r="N134" s="5" t="s">
        <v>49</v>
      </c>
      <c r="O134" s="5" t="s">
        <v>800</v>
      </c>
      <c r="P134" s="5" t="s">
        <v>51</v>
      </c>
      <c r="Q134" s="5" t="s">
        <v>123</v>
      </c>
      <c r="R134" s="5" t="s">
        <v>122</v>
      </c>
      <c r="S134" s="5" t="s">
        <v>120</v>
      </c>
      <c r="T134" s="5" t="s">
        <v>360</v>
      </c>
      <c r="U134" s="5" t="s">
        <v>119</v>
      </c>
      <c r="V134" s="5" t="s">
        <v>56</v>
      </c>
      <c r="W134" s="5" t="s">
        <v>798</v>
      </c>
      <c r="X134" s="6"/>
      <c r="Y134" s="5" t="s">
        <v>58</v>
      </c>
    </row>
    <row r="135" customFormat="false" ht="90" hidden="false" customHeight="true" outlineLevel="0" collapsed="false">
      <c r="A135" s="5" t="s">
        <v>42</v>
      </c>
      <c r="B135" s="5" t="s">
        <v>43</v>
      </c>
      <c r="C135" s="5" t="s">
        <v>801</v>
      </c>
      <c r="D135" s="5" t="s">
        <v>802</v>
      </c>
      <c r="E135" s="5"/>
      <c r="F135" s="5"/>
      <c r="G135" s="5" t="s">
        <v>46</v>
      </c>
      <c r="H135" s="5" t="s">
        <v>46</v>
      </c>
      <c r="I135" s="5" t="s">
        <v>283</v>
      </c>
      <c r="J135" s="5"/>
      <c r="K135" s="5" t="s">
        <v>284</v>
      </c>
      <c r="L135" s="5" t="n">
        <v>2024</v>
      </c>
      <c r="M135" s="5" t="n">
        <v>2024</v>
      </c>
      <c r="N135" s="5" t="s">
        <v>49</v>
      </c>
      <c r="O135" s="5" t="s">
        <v>803</v>
      </c>
      <c r="P135" s="5" t="s">
        <v>60</v>
      </c>
      <c r="Q135" s="5" t="s">
        <v>804</v>
      </c>
      <c r="R135" s="5" t="s">
        <v>805</v>
      </c>
      <c r="S135" s="5" t="s">
        <v>806</v>
      </c>
      <c r="T135" s="5" t="s">
        <v>807</v>
      </c>
      <c r="U135" s="5" t="s">
        <v>808</v>
      </c>
      <c r="V135" s="5" t="s">
        <v>65</v>
      </c>
      <c r="W135" s="5" t="s">
        <v>809</v>
      </c>
      <c r="X135" s="6"/>
      <c r="Y135" s="5" t="s">
        <v>58</v>
      </c>
    </row>
    <row r="136" customFormat="false" ht="90" hidden="false" customHeight="true" outlineLevel="0" collapsed="false">
      <c r="A136" s="5" t="s">
        <v>42</v>
      </c>
      <c r="B136" s="5" t="s">
        <v>43</v>
      </c>
      <c r="C136" s="5" t="s">
        <v>801</v>
      </c>
      <c r="D136" s="5" t="s">
        <v>802</v>
      </c>
      <c r="E136" s="5"/>
      <c r="F136" s="5"/>
      <c r="G136" s="5" t="s">
        <v>46</v>
      </c>
      <c r="H136" s="5" t="s">
        <v>46</v>
      </c>
      <c r="I136" s="5" t="s">
        <v>203</v>
      </c>
      <c r="J136" s="5"/>
      <c r="K136" s="5" t="s">
        <v>204</v>
      </c>
      <c r="L136" s="5" t="n">
        <v>2023</v>
      </c>
      <c r="M136" s="5" t="n">
        <v>2023</v>
      </c>
      <c r="N136" s="5" t="s">
        <v>49</v>
      </c>
      <c r="O136" s="5" t="s">
        <v>810</v>
      </c>
      <c r="P136" s="5" t="s">
        <v>98</v>
      </c>
      <c r="Q136" s="5" t="s">
        <v>207</v>
      </c>
      <c r="R136" s="5" t="s">
        <v>811</v>
      </c>
      <c r="S136" s="5" t="s">
        <v>812</v>
      </c>
      <c r="T136" s="5" t="s">
        <v>813</v>
      </c>
      <c r="U136" s="5" t="s">
        <v>814</v>
      </c>
      <c r="V136" s="5" t="s">
        <v>104</v>
      </c>
      <c r="W136" s="5" t="s">
        <v>809</v>
      </c>
      <c r="X136" s="6"/>
      <c r="Y136" s="5" t="s">
        <v>58</v>
      </c>
    </row>
    <row r="137" customFormat="false" ht="90" hidden="false" customHeight="true" outlineLevel="0" collapsed="false">
      <c r="A137" s="5" t="s">
        <v>42</v>
      </c>
      <c r="B137" s="5" t="s">
        <v>43</v>
      </c>
      <c r="C137" s="5" t="s">
        <v>801</v>
      </c>
      <c r="D137" s="5" t="s">
        <v>802</v>
      </c>
      <c r="E137" s="5"/>
      <c r="F137" s="5"/>
      <c r="G137" s="5" t="s">
        <v>46</v>
      </c>
      <c r="H137" s="5" t="s">
        <v>46</v>
      </c>
      <c r="I137" s="5" t="s">
        <v>140</v>
      </c>
      <c r="J137" s="5"/>
      <c r="K137" s="5" t="s">
        <v>141</v>
      </c>
      <c r="L137" s="5" t="n">
        <v>2023</v>
      </c>
      <c r="M137" s="5" t="n">
        <v>2023</v>
      </c>
      <c r="N137" s="5" t="s">
        <v>49</v>
      </c>
      <c r="O137" s="5" t="s">
        <v>815</v>
      </c>
      <c r="P137" s="5" t="s">
        <v>158</v>
      </c>
      <c r="Q137" s="5" t="s">
        <v>816</v>
      </c>
      <c r="R137" s="5" t="s">
        <v>817</v>
      </c>
      <c r="S137" s="5" t="s">
        <v>818</v>
      </c>
      <c r="T137" s="5" t="s">
        <v>819</v>
      </c>
      <c r="U137" s="5" t="s">
        <v>820</v>
      </c>
      <c r="V137" s="5" t="s">
        <v>162</v>
      </c>
      <c r="W137" s="5" t="s">
        <v>809</v>
      </c>
      <c r="X137" s="6"/>
      <c r="Y137" s="5" t="s">
        <v>58</v>
      </c>
    </row>
    <row r="138" customFormat="false" ht="90" hidden="false" customHeight="true" outlineLevel="0" collapsed="false">
      <c r="A138" s="5" t="s">
        <v>42</v>
      </c>
      <c r="B138" s="5" t="s">
        <v>43</v>
      </c>
      <c r="C138" s="5" t="s">
        <v>801</v>
      </c>
      <c r="D138" s="5" t="s">
        <v>802</v>
      </c>
      <c r="E138" s="5"/>
      <c r="F138" s="5"/>
      <c r="G138" s="5" t="s">
        <v>46</v>
      </c>
      <c r="H138" s="5" t="s">
        <v>46</v>
      </c>
      <c r="I138" s="5" t="s">
        <v>147</v>
      </c>
      <c r="J138" s="5"/>
      <c r="K138" s="5" t="s">
        <v>148</v>
      </c>
      <c r="L138" s="5" t="n">
        <v>2022</v>
      </c>
      <c r="M138" s="5" t="n">
        <v>2022</v>
      </c>
      <c r="N138" s="5" t="s">
        <v>49</v>
      </c>
      <c r="O138" s="5" t="s">
        <v>821</v>
      </c>
      <c r="P138" s="5" t="s">
        <v>158</v>
      </c>
      <c r="Q138" s="5" t="s">
        <v>469</v>
      </c>
      <c r="R138" s="5" t="s">
        <v>467</v>
      </c>
      <c r="S138" s="5" t="s">
        <v>466</v>
      </c>
      <c r="T138" s="5" t="s">
        <v>822</v>
      </c>
      <c r="U138" s="5" t="s">
        <v>360</v>
      </c>
      <c r="V138" s="5" t="s">
        <v>162</v>
      </c>
      <c r="W138" s="5" t="s">
        <v>809</v>
      </c>
      <c r="X138" s="6" t="s">
        <v>823</v>
      </c>
      <c r="Y138" s="5" t="s">
        <v>58</v>
      </c>
    </row>
    <row r="139" customFormat="false" ht="90" hidden="false" customHeight="true" outlineLevel="0" collapsed="false">
      <c r="A139" s="5" t="s">
        <v>42</v>
      </c>
      <c r="B139" s="5" t="s">
        <v>43</v>
      </c>
      <c r="C139" s="5" t="s">
        <v>801</v>
      </c>
      <c r="D139" s="5" t="s">
        <v>802</v>
      </c>
      <c r="E139" s="5"/>
      <c r="F139" s="5"/>
      <c r="G139" s="5" t="s">
        <v>46</v>
      </c>
      <c r="H139" s="5" t="s">
        <v>46</v>
      </c>
      <c r="I139" s="5" t="s">
        <v>155</v>
      </c>
      <c r="J139" s="5"/>
      <c r="K139" s="5" t="s">
        <v>156</v>
      </c>
      <c r="L139" s="5" t="n">
        <v>2020</v>
      </c>
      <c r="M139" s="5" t="n">
        <v>2020</v>
      </c>
      <c r="N139" s="5" t="s">
        <v>49</v>
      </c>
      <c r="O139" s="5" t="s">
        <v>824</v>
      </c>
      <c r="P139" s="5" t="s">
        <v>51</v>
      </c>
      <c r="Q139" s="5" t="s">
        <v>164</v>
      </c>
      <c r="R139" s="5" t="s">
        <v>166</v>
      </c>
      <c r="S139" s="5" t="s">
        <v>119</v>
      </c>
      <c r="T139" s="5" t="s">
        <v>469</v>
      </c>
      <c r="U139" s="5" t="s">
        <v>549</v>
      </c>
      <c r="V139" s="5" t="s">
        <v>56</v>
      </c>
      <c r="W139" s="5" t="s">
        <v>809</v>
      </c>
      <c r="X139" s="6"/>
      <c r="Y139" s="5" t="s">
        <v>58</v>
      </c>
    </row>
    <row r="140" customFormat="false" ht="90" hidden="false" customHeight="true" outlineLevel="0" collapsed="false">
      <c r="A140" s="5" t="s">
        <v>42</v>
      </c>
      <c r="B140" s="5" t="s">
        <v>43</v>
      </c>
      <c r="C140" s="5" t="s">
        <v>825</v>
      </c>
      <c r="D140" s="5" t="s">
        <v>826</v>
      </c>
      <c r="E140" s="5"/>
      <c r="F140" s="5"/>
      <c r="G140" s="5" t="s">
        <v>46</v>
      </c>
      <c r="H140" s="5" t="s">
        <v>46</v>
      </c>
      <c r="I140" s="5" t="s">
        <v>76</v>
      </c>
      <c r="J140" s="5"/>
      <c r="K140" s="5" t="s">
        <v>77</v>
      </c>
      <c r="L140" s="5" t="n">
        <v>2025</v>
      </c>
      <c r="M140" s="5" t="n">
        <v>2025</v>
      </c>
      <c r="N140" s="5" t="s">
        <v>49</v>
      </c>
      <c r="O140" s="5" t="s">
        <v>827</v>
      </c>
      <c r="P140" s="5" t="s">
        <v>158</v>
      </c>
      <c r="Q140" s="5" t="s">
        <v>828</v>
      </c>
      <c r="R140" s="5" t="s">
        <v>829</v>
      </c>
      <c r="S140" s="5" t="s">
        <v>830</v>
      </c>
      <c r="T140" s="5" t="s">
        <v>831</v>
      </c>
      <c r="U140" s="5" t="s">
        <v>832</v>
      </c>
      <c r="V140" s="5" t="s">
        <v>162</v>
      </c>
      <c r="W140" s="5" t="s">
        <v>833</v>
      </c>
      <c r="X140" s="6"/>
      <c r="Y140" s="5" t="s">
        <v>58</v>
      </c>
    </row>
    <row r="141" customFormat="false" ht="90" hidden="false" customHeight="true" outlineLevel="0" collapsed="false">
      <c r="A141" s="5" t="s">
        <v>42</v>
      </c>
      <c r="B141" s="5" t="s">
        <v>43</v>
      </c>
      <c r="C141" s="5" t="s">
        <v>825</v>
      </c>
      <c r="D141" s="5" t="s">
        <v>826</v>
      </c>
      <c r="E141" s="5"/>
      <c r="F141" s="5"/>
      <c r="G141" s="5" t="s">
        <v>46</v>
      </c>
      <c r="H141" s="5" t="s">
        <v>46</v>
      </c>
      <c r="I141" s="5" t="s">
        <v>135</v>
      </c>
      <c r="J141" s="5"/>
      <c r="K141" s="5" t="s">
        <v>136</v>
      </c>
      <c r="L141" s="5" t="n">
        <v>2024</v>
      </c>
      <c r="M141" s="5" t="n">
        <v>2024</v>
      </c>
      <c r="N141" s="5" t="s">
        <v>49</v>
      </c>
      <c r="O141" s="5" t="s">
        <v>834</v>
      </c>
      <c r="P141" s="5" t="s">
        <v>51</v>
      </c>
      <c r="Q141" s="5" t="s">
        <v>835</v>
      </c>
      <c r="R141" s="5" t="s">
        <v>836</v>
      </c>
      <c r="S141" s="5" t="s">
        <v>837</v>
      </c>
      <c r="T141" s="5" t="s">
        <v>838</v>
      </c>
      <c r="U141" s="5" t="s">
        <v>839</v>
      </c>
      <c r="V141" s="5" t="s">
        <v>56</v>
      </c>
      <c r="W141" s="5" t="s">
        <v>833</v>
      </c>
      <c r="X141" s="6"/>
      <c r="Y141" s="5" t="s">
        <v>58</v>
      </c>
    </row>
    <row r="142" customFormat="false" ht="90" hidden="false" customHeight="true" outlineLevel="0" collapsed="false">
      <c r="A142" s="5" t="s">
        <v>42</v>
      </c>
      <c r="B142" s="5" t="s">
        <v>43</v>
      </c>
      <c r="C142" s="5" t="s">
        <v>825</v>
      </c>
      <c r="D142" s="5" t="s">
        <v>826</v>
      </c>
      <c r="E142" s="5"/>
      <c r="F142" s="5"/>
      <c r="G142" s="5" t="s">
        <v>46</v>
      </c>
      <c r="H142" s="5" t="s">
        <v>46</v>
      </c>
      <c r="I142" s="5" t="s">
        <v>209</v>
      </c>
      <c r="J142" s="5"/>
      <c r="K142" s="5" t="s">
        <v>210</v>
      </c>
      <c r="L142" s="5" t="n">
        <v>2022</v>
      </c>
      <c r="M142" s="5" t="n">
        <v>2022</v>
      </c>
      <c r="N142" s="5" t="s">
        <v>49</v>
      </c>
      <c r="O142" s="5" t="s">
        <v>840</v>
      </c>
      <c r="P142" s="5" t="s">
        <v>352</v>
      </c>
      <c r="Q142" s="5" t="s">
        <v>478</v>
      </c>
      <c r="R142" s="5" t="s">
        <v>841</v>
      </c>
      <c r="S142" s="5" t="s">
        <v>481</v>
      </c>
      <c r="T142" s="5" t="s">
        <v>480</v>
      </c>
      <c r="U142" s="5" t="s">
        <v>482</v>
      </c>
      <c r="V142" s="5"/>
      <c r="W142" s="5" t="s">
        <v>833</v>
      </c>
      <c r="X142" s="6"/>
      <c r="Y142" s="5" t="s">
        <v>58</v>
      </c>
    </row>
    <row r="143" customFormat="false" ht="90" hidden="false" customHeight="true" outlineLevel="0" collapsed="false">
      <c r="A143" s="5" t="s">
        <v>42</v>
      </c>
      <c r="B143" s="5" t="s">
        <v>43</v>
      </c>
      <c r="C143" s="5" t="s">
        <v>825</v>
      </c>
      <c r="D143" s="5" t="s">
        <v>826</v>
      </c>
      <c r="E143" s="5"/>
      <c r="F143" s="5"/>
      <c r="G143" s="5" t="s">
        <v>46</v>
      </c>
      <c r="H143" s="5" t="s">
        <v>46</v>
      </c>
      <c r="I143" s="5" t="s">
        <v>155</v>
      </c>
      <c r="J143" s="5"/>
      <c r="K143" s="5" t="s">
        <v>156</v>
      </c>
      <c r="L143" s="5" t="n">
        <v>2020</v>
      </c>
      <c r="M143" s="5" t="n">
        <v>2020</v>
      </c>
      <c r="N143" s="5" t="s">
        <v>49</v>
      </c>
      <c r="O143" s="5" t="s">
        <v>842</v>
      </c>
      <c r="P143" s="5" t="s">
        <v>60</v>
      </c>
      <c r="Q143" s="5" t="s">
        <v>843</v>
      </c>
      <c r="R143" s="5" t="s">
        <v>844</v>
      </c>
      <c r="S143" s="5" t="s">
        <v>845</v>
      </c>
      <c r="T143" s="5" t="s">
        <v>846</v>
      </c>
      <c r="U143" s="5" t="s">
        <v>847</v>
      </c>
      <c r="V143" s="5" t="s">
        <v>65</v>
      </c>
      <c r="W143" s="5" t="s">
        <v>833</v>
      </c>
      <c r="X143" s="6"/>
      <c r="Y143" s="5" t="s">
        <v>58</v>
      </c>
    </row>
    <row r="144" customFormat="false" ht="90" hidden="false" customHeight="true" outlineLevel="0" collapsed="false">
      <c r="A144" s="5" t="s">
        <v>42</v>
      </c>
      <c r="B144" s="5" t="s">
        <v>43</v>
      </c>
      <c r="C144" s="5" t="s">
        <v>825</v>
      </c>
      <c r="D144" s="5" t="s">
        <v>826</v>
      </c>
      <c r="E144" s="5"/>
      <c r="F144" s="5"/>
      <c r="G144" s="5" t="s">
        <v>46</v>
      </c>
      <c r="H144" s="5" t="s">
        <v>46</v>
      </c>
      <c r="I144" s="5" t="s">
        <v>249</v>
      </c>
      <c r="J144" s="5"/>
      <c r="K144" s="5" t="s">
        <v>261</v>
      </c>
      <c r="L144" s="5" t="n">
        <v>2019</v>
      </c>
      <c r="M144" s="5" t="n">
        <v>2019</v>
      </c>
      <c r="N144" s="5" t="s">
        <v>49</v>
      </c>
      <c r="O144" s="5" t="s">
        <v>848</v>
      </c>
      <c r="P144" s="5" t="s">
        <v>51</v>
      </c>
      <c r="Q144" s="5" t="s">
        <v>479</v>
      </c>
      <c r="R144" s="5" t="s">
        <v>841</v>
      </c>
      <c r="S144" s="5" t="s">
        <v>481</v>
      </c>
      <c r="T144" s="5" t="s">
        <v>478</v>
      </c>
      <c r="U144" s="5" t="s">
        <v>480</v>
      </c>
      <c r="V144" s="5" t="s">
        <v>56</v>
      </c>
      <c r="W144" s="5" t="s">
        <v>833</v>
      </c>
      <c r="X144" s="6"/>
      <c r="Y144" s="5" t="s">
        <v>58</v>
      </c>
    </row>
    <row r="145" customFormat="false" ht="90" hidden="false" customHeight="true" outlineLevel="0" collapsed="false">
      <c r="A145" s="5" t="s">
        <v>42</v>
      </c>
      <c r="B145" s="5" t="s">
        <v>43</v>
      </c>
      <c r="C145" s="5" t="s">
        <v>849</v>
      </c>
      <c r="D145" s="5" t="s">
        <v>850</v>
      </c>
      <c r="E145" s="5"/>
      <c r="F145" s="5"/>
      <c r="G145" s="5" t="s">
        <v>46</v>
      </c>
      <c r="H145" s="5" t="s">
        <v>46</v>
      </c>
      <c r="I145" s="5" t="s">
        <v>155</v>
      </c>
      <c r="J145" s="5"/>
      <c r="K145" s="5" t="s">
        <v>156</v>
      </c>
      <c r="L145" s="5" t="n">
        <v>2020</v>
      </c>
      <c r="M145" s="5" t="n">
        <v>2020</v>
      </c>
      <c r="N145" s="5" t="s">
        <v>49</v>
      </c>
      <c r="O145" s="5" t="s">
        <v>851</v>
      </c>
      <c r="P145" s="5" t="s">
        <v>69</v>
      </c>
      <c r="Q145" s="5" t="s">
        <v>852</v>
      </c>
      <c r="R145" s="5" t="s">
        <v>853</v>
      </c>
      <c r="S145" s="5" t="s">
        <v>854</v>
      </c>
      <c r="T145" s="5" t="s">
        <v>855</v>
      </c>
      <c r="U145" s="5" t="s">
        <v>856</v>
      </c>
      <c r="V145" s="5" t="s">
        <v>75</v>
      </c>
      <c r="W145" s="5" t="s">
        <v>857</v>
      </c>
      <c r="X145" s="6"/>
      <c r="Y145" s="5" t="s">
        <v>58</v>
      </c>
    </row>
    <row r="146" customFormat="false" ht="90" hidden="false" customHeight="true" outlineLevel="0" collapsed="false">
      <c r="A146" s="5" t="s">
        <v>42</v>
      </c>
      <c r="B146" s="5" t="s">
        <v>43</v>
      </c>
      <c r="C146" s="5" t="s">
        <v>858</v>
      </c>
      <c r="D146" s="5" t="s">
        <v>859</v>
      </c>
      <c r="E146" s="5"/>
      <c r="F146" s="5"/>
      <c r="G146" s="5" t="s">
        <v>46</v>
      </c>
      <c r="H146" s="5" t="s">
        <v>46</v>
      </c>
      <c r="I146" s="5" t="s">
        <v>249</v>
      </c>
      <c r="J146" s="5"/>
      <c r="K146" s="5" t="s">
        <v>261</v>
      </c>
      <c r="L146" s="5" t="n">
        <v>2019</v>
      </c>
      <c r="M146" s="5" t="n">
        <v>2019</v>
      </c>
      <c r="N146" s="5" t="s">
        <v>49</v>
      </c>
      <c r="O146" s="5" t="s">
        <v>860</v>
      </c>
      <c r="P146" s="5" t="s">
        <v>158</v>
      </c>
      <c r="Q146" s="5" t="s">
        <v>861</v>
      </c>
      <c r="R146" s="5" t="s">
        <v>862</v>
      </c>
      <c r="S146" s="5" t="s">
        <v>863</v>
      </c>
      <c r="T146" s="5" t="s">
        <v>864</v>
      </c>
      <c r="U146" s="5" t="s">
        <v>865</v>
      </c>
      <c r="V146" s="5" t="s">
        <v>162</v>
      </c>
      <c r="W146" s="5" t="s">
        <v>866</v>
      </c>
      <c r="X146" s="6"/>
      <c r="Y146" s="5" t="s">
        <v>58</v>
      </c>
    </row>
    <row r="147" customFormat="false" ht="90" hidden="false" customHeight="true" outlineLevel="0" collapsed="false">
      <c r="A147" s="5" t="s">
        <v>42</v>
      </c>
      <c r="B147" s="5" t="s">
        <v>43</v>
      </c>
      <c r="C147" s="5" t="s">
        <v>867</v>
      </c>
      <c r="D147" s="5" t="s">
        <v>868</v>
      </c>
      <c r="E147" s="5"/>
      <c r="F147" s="5"/>
      <c r="G147" s="5" t="s">
        <v>46</v>
      </c>
      <c r="H147" s="5" t="s">
        <v>46</v>
      </c>
      <c r="I147" s="5" t="s">
        <v>126</v>
      </c>
      <c r="J147" s="5"/>
      <c r="K147" s="5" t="s">
        <v>127</v>
      </c>
      <c r="L147" s="5" t="n">
        <v>2025</v>
      </c>
      <c r="M147" s="5" t="n">
        <v>2025</v>
      </c>
      <c r="N147" s="5" t="s">
        <v>49</v>
      </c>
      <c r="O147" s="5" t="s">
        <v>869</v>
      </c>
      <c r="P147" s="5" t="s">
        <v>352</v>
      </c>
      <c r="Q147" s="5" t="s">
        <v>870</v>
      </c>
      <c r="R147" s="5" t="s">
        <v>871</v>
      </c>
      <c r="S147" s="5" t="s">
        <v>872</v>
      </c>
      <c r="T147" s="5" t="s">
        <v>873</v>
      </c>
      <c r="U147" s="5" t="s">
        <v>874</v>
      </c>
      <c r="V147" s="5"/>
      <c r="W147" s="5" t="s">
        <v>875</v>
      </c>
      <c r="X147" s="6"/>
      <c r="Y147" s="5" t="s">
        <v>58</v>
      </c>
    </row>
    <row r="148" customFormat="false" ht="90" hidden="false" customHeight="true" outlineLevel="0" collapsed="false">
      <c r="A148" s="5" t="s">
        <v>42</v>
      </c>
      <c r="B148" s="5" t="s">
        <v>43</v>
      </c>
      <c r="C148" s="5" t="s">
        <v>867</v>
      </c>
      <c r="D148" s="5" t="s">
        <v>868</v>
      </c>
      <c r="E148" s="5"/>
      <c r="F148" s="5"/>
      <c r="G148" s="5" t="s">
        <v>46</v>
      </c>
      <c r="H148" s="5" t="s">
        <v>46</v>
      </c>
      <c r="I148" s="5" t="s">
        <v>126</v>
      </c>
      <c r="J148" s="5"/>
      <c r="K148" s="5" t="s">
        <v>127</v>
      </c>
      <c r="L148" s="5" t="n">
        <v>2025</v>
      </c>
      <c r="M148" s="5" t="n">
        <v>2025</v>
      </c>
      <c r="N148" s="5" t="s">
        <v>49</v>
      </c>
      <c r="O148" s="5" t="s">
        <v>876</v>
      </c>
      <c r="P148" s="5" t="s">
        <v>158</v>
      </c>
      <c r="Q148" s="5" t="s">
        <v>877</v>
      </c>
      <c r="R148" s="5" t="s">
        <v>878</v>
      </c>
      <c r="S148" s="5" t="s">
        <v>879</v>
      </c>
      <c r="T148" s="5" t="s">
        <v>880</v>
      </c>
      <c r="U148" s="5" t="s">
        <v>881</v>
      </c>
      <c r="V148" s="5" t="s">
        <v>162</v>
      </c>
      <c r="W148" s="5" t="s">
        <v>875</v>
      </c>
      <c r="X148" s="6"/>
      <c r="Y148" s="5" t="s">
        <v>58</v>
      </c>
    </row>
    <row r="149" customFormat="false" ht="90" hidden="false" customHeight="true" outlineLevel="0" collapsed="false">
      <c r="A149" s="5" t="s">
        <v>42</v>
      </c>
      <c r="B149" s="5" t="s">
        <v>43</v>
      </c>
      <c r="C149" s="5" t="s">
        <v>867</v>
      </c>
      <c r="D149" s="5" t="s">
        <v>868</v>
      </c>
      <c r="E149" s="5"/>
      <c r="F149" s="5"/>
      <c r="G149" s="5" t="s">
        <v>46</v>
      </c>
      <c r="H149" s="5" t="s">
        <v>46</v>
      </c>
      <c r="I149" s="5" t="s">
        <v>155</v>
      </c>
      <c r="J149" s="5"/>
      <c r="K149" s="5" t="s">
        <v>361</v>
      </c>
      <c r="L149" s="5" t="n">
        <v>2024</v>
      </c>
      <c r="M149" s="5" t="n">
        <v>2024</v>
      </c>
      <c r="N149" s="5" t="s">
        <v>49</v>
      </c>
      <c r="O149" s="5" t="s">
        <v>882</v>
      </c>
      <c r="P149" s="5" t="s">
        <v>98</v>
      </c>
      <c r="Q149" s="5" t="s">
        <v>206</v>
      </c>
      <c r="R149" s="5" t="s">
        <v>123</v>
      </c>
      <c r="S149" s="5" t="s">
        <v>121</v>
      </c>
      <c r="T149" s="5" t="s">
        <v>122</v>
      </c>
      <c r="U149" s="5" t="s">
        <v>360</v>
      </c>
      <c r="V149" s="5" t="s">
        <v>104</v>
      </c>
      <c r="W149" s="5" t="s">
        <v>875</v>
      </c>
      <c r="X149" s="6"/>
      <c r="Y149" s="5" t="s">
        <v>58</v>
      </c>
    </row>
    <row r="150" customFormat="false" ht="90" hidden="false" customHeight="true" outlineLevel="0" collapsed="false">
      <c r="A150" s="5" t="s">
        <v>42</v>
      </c>
      <c r="B150" s="5" t="s">
        <v>43</v>
      </c>
      <c r="C150" s="5" t="s">
        <v>867</v>
      </c>
      <c r="D150" s="5" t="s">
        <v>868</v>
      </c>
      <c r="E150" s="5"/>
      <c r="F150" s="5"/>
      <c r="G150" s="5" t="s">
        <v>46</v>
      </c>
      <c r="H150" s="5" t="s">
        <v>46</v>
      </c>
      <c r="I150" s="5" t="s">
        <v>155</v>
      </c>
      <c r="J150" s="5"/>
      <c r="K150" s="5" t="s">
        <v>156</v>
      </c>
      <c r="L150" s="5" t="n">
        <v>2020</v>
      </c>
      <c r="M150" s="5" t="n">
        <v>2020</v>
      </c>
      <c r="N150" s="5" t="s">
        <v>49</v>
      </c>
      <c r="O150" s="5" t="s">
        <v>883</v>
      </c>
      <c r="P150" s="5" t="s">
        <v>98</v>
      </c>
      <c r="Q150" s="5" t="s">
        <v>884</v>
      </c>
      <c r="R150" s="5" t="s">
        <v>885</v>
      </c>
      <c r="S150" s="5" t="s">
        <v>886</v>
      </c>
      <c r="T150" s="5" t="s">
        <v>887</v>
      </c>
      <c r="U150" s="5" t="s">
        <v>888</v>
      </c>
      <c r="V150" s="5" t="s">
        <v>104</v>
      </c>
      <c r="W150" s="5" t="s">
        <v>875</v>
      </c>
      <c r="X150" s="6"/>
      <c r="Y150" s="5" t="s">
        <v>58</v>
      </c>
    </row>
    <row r="151" customFormat="false" ht="90" hidden="false" customHeight="true" outlineLevel="0" collapsed="false">
      <c r="A151" s="5" t="s">
        <v>42</v>
      </c>
      <c r="B151" s="5" t="s">
        <v>43</v>
      </c>
      <c r="C151" s="5" t="s">
        <v>889</v>
      </c>
      <c r="D151" s="5" t="s">
        <v>890</v>
      </c>
      <c r="E151" s="5"/>
      <c r="F151" s="5"/>
      <c r="G151" s="5" t="s">
        <v>46</v>
      </c>
      <c r="H151" s="5" t="s">
        <v>46</v>
      </c>
      <c r="I151" s="5" t="s">
        <v>76</v>
      </c>
      <c r="J151" s="5"/>
      <c r="K151" s="5" t="s">
        <v>77</v>
      </c>
      <c r="L151" s="5" t="n">
        <v>2025</v>
      </c>
      <c r="M151" s="5" t="n">
        <v>2025</v>
      </c>
      <c r="N151" s="5" t="s">
        <v>49</v>
      </c>
      <c r="O151" s="5" t="s">
        <v>891</v>
      </c>
      <c r="P151" s="5" t="s">
        <v>60</v>
      </c>
      <c r="Q151" s="5" t="s">
        <v>892</v>
      </c>
      <c r="R151" s="5" t="s">
        <v>893</v>
      </c>
      <c r="S151" s="5" t="s">
        <v>894</v>
      </c>
      <c r="T151" s="5" t="s">
        <v>895</v>
      </c>
      <c r="U151" s="5" t="s">
        <v>896</v>
      </c>
      <c r="V151" s="5" t="s">
        <v>65</v>
      </c>
      <c r="W151" s="5" t="s">
        <v>897</v>
      </c>
      <c r="X151" s="6"/>
      <c r="Y151" s="5" t="s">
        <v>58</v>
      </c>
    </row>
    <row r="152" customFormat="false" ht="90" hidden="false" customHeight="true" outlineLevel="0" collapsed="false">
      <c r="A152" s="5" t="s">
        <v>42</v>
      </c>
      <c r="B152" s="5" t="s">
        <v>43</v>
      </c>
      <c r="C152" s="5" t="s">
        <v>889</v>
      </c>
      <c r="D152" s="5" t="s">
        <v>890</v>
      </c>
      <c r="E152" s="5"/>
      <c r="F152" s="5"/>
      <c r="G152" s="5" t="s">
        <v>46</v>
      </c>
      <c r="H152" s="5" t="s">
        <v>46</v>
      </c>
      <c r="I152" s="5" t="s">
        <v>155</v>
      </c>
      <c r="J152" s="5"/>
      <c r="K152" s="5" t="s">
        <v>361</v>
      </c>
      <c r="L152" s="5" t="n">
        <v>2024</v>
      </c>
      <c r="M152" s="5" t="n">
        <v>2024</v>
      </c>
      <c r="N152" s="5" t="s">
        <v>49</v>
      </c>
      <c r="O152" s="5" t="s">
        <v>898</v>
      </c>
      <c r="P152" s="5" t="s">
        <v>69</v>
      </c>
      <c r="Q152" s="5" t="s">
        <v>899</v>
      </c>
      <c r="R152" s="5" t="s">
        <v>900</v>
      </c>
      <c r="S152" s="5" t="s">
        <v>901</v>
      </c>
      <c r="T152" s="5" t="s">
        <v>902</v>
      </c>
      <c r="U152" s="5" t="s">
        <v>903</v>
      </c>
      <c r="V152" s="5" t="s">
        <v>75</v>
      </c>
      <c r="W152" s="5" t="s">
        <v>897</v>
      </c>
      <c r="X152" s="6"/>
      <c r="Y152" s="5" t="s">
        <v>58</v>
      </c>
    </row>
    <row r="153" customFormat="false" ht="90" hidden="false" customHeight="true" outlineLevel="0" collapsed="false">
      <c r="A153" s="5" t="s">
        <v>42</v>
      </c>
      <c r="B153" s="5" t="s">
        <v>43</v>
      </c>
      <c r="C153" s="5" t="s">
        <v>889</v>
      </c>
      <c r="D153" s="5" t="s">
        <v>890</v>
      </c>
      <c r="E153" s="5"/>
      <c r="F153" s="5"/>
      <c r="G153" s="5" t="s">
        <v>46</v>
      </c>
      <c r="H153" s="5" t="s">
        <v>46</v>
      </c>
      <c r="I153" s="5" t="s">
        <v>283</v>
      </c>
      <c r="J153" s="5"/>
      <c r="K153" s="5" t="s">
        <v>284</v>
      </c>
      <c r="L153" s="5" t="n">
        <v>2024</v>
      </c>
      <c r="M153" s="5" t="n">
        <v>2024</v>
      </c>
      <c r="N153" s="5" t="s">
        <v>49</v>
      </c>
      <c r="O153" s="5" t="s">
        <v>904</v>
      </c>
      <c r="P153" s="5" t="s">
        <v>158</v>
      </c>
      <c r="Q153" s="5" t="s">
        <v>206</v>
      </c>
      <c r="R153" s="5" t="s">
        <v>360</v>
      </c>
      <c r="S153" s="5" t="s">
        <v>123</v>
      </c>
      <c r="T153" s="5" t="s">
        <v>122</v>
      </c>
      <c r="U153" s="5" t="s">
        <v>119</v>
      </c>
      <c r="V153" s="5" t="s">
        <v>162</v>
      </c>
      <c r="W153" s="5" t="s">
        <v>897</v>
      </c>
      <c r="X153" s="6"/>
      <c r="Y153" s="5" t="s">
        <v>58</v>
      </c>
    </row>
    <row r="154" customFormat="false" ht="90" hidden="false" customHeight="true" outlineLevel="0" collapsed="false">
      <c r="A154" s="5" t="s">
        <v>42</v>
      </c>
      <c r="B154" s="5" t="s">
        <v>43</v>
      </c>
      <c r="C154" s="5" t="s">
        <v>889</v>
      </c>
      <c r="D154" s="5" t="s">
        <v>890</v>
      </c>
      <c r="E154" s="5"/>
      <c r="F154" s="5"/>
      <c r="G154" s="5" t="s">
        <v>46</v>
      </c>
      <c r="H154" s="5" t="s">
        <v>46</v>
      </c>
      <c r="I154" s="5" t="s">
        <v>140</v>
      </c>
      <c r="J154" s="5"/>
      <c r="K154" s="5" t="s">
        <v>141</v>
      </c>
      <c r="L154" s="5" t="n">
        <v>2023</v>
      </c>
      <c r="M154" s="5" t="n">
        <v>2023</v>
      </c>
      <c r="N154" s="5" t="s">
        <v>49</v>
      </c>
      <c r="O154" s="5" t="s">
        <v>905</v>
      </c>
      <c r="P154" s="5" t="s">
        <v>98</v>
      </c>
      <c r="Q154" s="5" t="s">
        <v>164</v>
      </c>
      <c r="R154" s="5" t="s">
        <v>165</v>
      </c>
      <c r="S154" s="5" t="s">
        <v>234</v>
      </c>
      <c r="T154" s="5" t="s">
        <v>609</v>
      </c>
      <c r="U154" s="5" t="s">
        <v>232</v>
      </c>
      <c r="V154" s="5" t="s">
        <v>104</v>
      </c>
      <c r="W154" s="5" t="s">
        <v>897</v>
      </c>
      <c r="X154" s="6"/>
      <c r="Y154" s="5" t="s">
        <v>58</v>
      </c>
    </row>
    <row r="155" customFormat="false" ht="90" hidden="false" customHeight="true" outlineLevel="0" collapsed="false">
      <c r="A155" s="5" t="s">
        <v>42</v>
      </c>
      <c r="B155" s="5" t="s">
        <v>43</v>
      </c>
      <c r="C155" s="5" t="s">
        <v>889</v>
      </c>
      <c r="D155" s="5" t="s">
        <v>890</v>
      </c>
      <c r="E155" s="5"/>
      <c r="F155" s="5"/>
      <c r="G155" s="5" t="s">
        <v>46</v>
      </c>
      <c r="H155" s="5" t="s">
        <v>46</v>
      </c>
      <c r="I155" s="5" t="s">
        <v>363</v>
      </c>
      <c r="J155" s="5"/>
      <c r="K155" s="5" t="s">
        <v>364</v>
      </c>
      <c r="L155" s="5" t="n">
        <v>2023</v>
      </c>
      <c r="M155" s="5" t="n">
        <v>2023</v>
      </c>
      <c r="N155" s="5" t="s">
        <v>49</v>
      </c>
      <c r="O155" s="5" t="s">
        <v>906</v>
      </c>
      <c r="P155" s="5" t="s">
        <v>60</v>
      </c>
      <c r="Q155" s="5" t="s">
        <v>907</v>
      </c>
      <c r="R155" s="5" t="s">
        <v>908</v>
      </c>
      <c r="S155" s="5" t="s">
        <v>909</v>
      </c>
      <c r="T155" s="5" t="s">
        <v>910</v>
      </c>
      <c r="U155" s="5" t="s">
        <v>911</v>
      </c>
      <c r="V155" s="5" t="s">
        <v>65</v>
      </c>
      <c r="W155" s="5" t="s">
        <v>897</v>
      </c>
      <c r="X155" s="6"/>
      <c r="Y155" s="5" t="s">
        <v>58</v>
      </c>
    </row>
    <row r="156" customFormat="false" ht="90" hidden="false" customHeight="true" outlineLevel="0" collapsed="false">
      <c r="A156" s="5" t="s">
        <v>42</v>
      </c>
      <c r="B156" s="5" t="s">
        <v>43</v>
      </c>
      <c r="C156" s="5" t="s">
        <v>889</v>
      </c>
      <c r="D156" s="5" t="s">
        <v>890</v>
      </c>
      <c r="E156" s="5"/>
      <c r="F156" s="5"/>
      <c r="G156" s="5" t="s">
        <v>46</v>
      </c>
      <c r="H156" s="5" t="s">
        <v>46</v>
      </c>
      <c r="I156" s="5" t="s">
        <v>147</v>
      </c>
      <c r="J156" s="5"/>
      <c r="K156" s="5" t="s">
        <v>148</v>
      </c>
      <c r="L156" s="5" t="n">
        <v>2022</v>
      </c>
      <c r="M156" s="5" t="n">
        <v>2022</v>
      </c>
      <c r="N156" s="5" t="s">
        <v>49</v>
      </c>
      <c r="O156" s="5" t="s">
        <v>912</v>
      </c>
      <c r="P156" s="5" t="s">
        <v>98</v>
      </c>
      <c r="Q156" s="5" t="s">
        <v>121</v>
      </c>
      <c r="R156" s="5" t="s">
        <v>120</v>
      </c>
      <c r="S156" s="5" t="s">
        <v>360</v>
      </c>
      <c r="T156" s="5" t="s">
        <v>206</v>
      </c>
      <c r="U156" s="5" t="s">
        <v>119</v>
      </c>
      <c r="V156" s="5" t="s">
        <v>104</v>
      </c>
      <c r="W156" s="5" t="s">
        <v>897</v>
      </c>
      <c r="X156" s="6"/>
      <c r="Y156" s="5" t="s">
        <v>58</v>
      </c>
    </row>
    <row r="157" customFormat="false" ht="90" hidden="false" customHeight="true" outlineLevel="0" collapsed="false">
      <c r="A157" s="5" t="s">
        <v>42</v>
      </c>
      <c r="B157" s="5" t="s">
        <v>43</v>
      </c>
      <c r="C157" s="5" t="s">
        <v>889</v>
      </c>
      <c r="D157" s="5" t="s">
        <v>890</v>
      </c>
      <c r="E157" s="5"/>
      <c r="F157" s="5"/>
      <c r="G157" s="5" t="s">
        <v>46</v>
      </c>
      <c r="H157" s="5" t="s">
        <v>46</v>
      </c>
      <c r="I157" s="5" t="s">
        <v>155</v>
      </c>
      <c r="J157" s="5"/>
      <c r="K157" s="5" t="s">
        <v>156</v>
      </c>
      <c r="L157" s="5" t="n">
        <v>2020</v>
      </c>
      <c r="M157" s="5" t="n">
        <v>2020</v>
      </c>
      <c r="N157" s="5" t="s">
        <v>49</v>
      </c>
      <c r="O157" s="5" t="s">
        <v>913</v>
      </c>
      <c r="P157" s="5" t="s">
        <v>69</v>
      </c>
      <c r="Q157" s="5" t="s">
        <v>914</v>
      </c>
      <c r="R157" s="5" t="s">
        <v>915</v>
      </c>
      <c r="S157" s="5" t="s">
        <v>916</v>
      </c>
      <c r="T157" s="5" t="s">
        <v>917</v>
      </c>
      <c r="U157" s="5" t="s">
        <v>918</v>
      </c>
      <c r="V157" s="5" t="s">
        <v>75</v>
      </c>
      <c r="W157" s="5" t="s">
        <v>897</v>
      </c>
      <c r="X157" s="6"/>
      <c r="Y157" s="5" t="s">
        <v>58</v>
      </c>
    </row>
    <row r="158" customFormat="false" ht="90" hidden="false" customHeight="true" outlineLevel="0" collapsed="false">
      <c r="A158" s="5" t="s">
        <v>42</v>
      </c>
      <c r="B158" s="5" t="s">
        <v>43</v>
      </c>
      <c r="C158" s="5" t="s">
        <v>889</v>
      </c>
      <c r="D158" s="5" t="s">
        <v>890</v>
      </c>
      <c r="E158" s="5"/>
      <c r="F158" s="5"/>
      <c r="G158" s="5" t="s">
        <v>46</v>
      </c>
      <c r="H158" s="5" t="s">
        <v>46</v>
      </c>
      <c r="I158" s="5" t="s">
        <v>155</v>
      </c>
      <c r="J158" s="5"/>
      <c r="K158" s="5" t="s">
        <v>156</v>
      </c>
      <c r="L158" s="5" t="n">
        <v>2020</v>
      </c>
      <c r="M158" s="5" t="n">
        <v>2020</v>
      </c>
      <c r="N158" s="5" t="s">
        <v>49</v>
      </c>
      <c r="O158" s="5" t="s">
        <v>919</v>
      </c>
      <c r="P158" s="5" t="s">
        <v>51</v>
      </c>
      <c r="Q158" s="5" t="s">
        <v>232</v>
      </c>
      <c r="R158" s="5" t="s">
        <v>231</v>
      </c>
      <c r="S158" s="5" t="s">
        <v>920</v>
      </c>
      <c r="T158" s="5" t="s">
        <v>233</v>
      </c>
      <c r="U158" s="5" t="s">
        <v>74</v>
      </c>
      <c r="V158" s="5" t="s">
        <v>56</v>
      </c>
      <c r="W158" s="5" t="s">
        <v>897</v>
      </c>
      <c r="X158" s="6"/>
      <c r="Y158" s="5" t="s">
        <v>58</v>
      </c>
    </row>
    <row r="159" customFormat="false" ht="90" hidden="false" customHeight="true" outlineLevel="0" collapsed="false">
      <c r="A159" s="5" t="s">
        <v>42</v>
      </c>
      <c r="B159" s="5" t="s">
        <v>43</v>
      </c>
      <c r="C159" s="5" t="s">
        <v>889</v>
      </c>
      <c r="D159" s="5" t="s">
        <v>890</v>
      </c>
      <c r="E159" s="5"/>
      <c r="F159" s="5"/>
      <c r="G159" s="5" t="s">
        <v>46</v>
      </c>
      <c r="H159" s="5" t="s">
        <v>46</v>
      </c>
      <c r="I159" s="5" t="s">
        <v>155</v>
      </c>
      <c r="J159" s="5"/>
      <c r="K159" s="5" t="s">
        <v>156</v>
      </c>
      <c r="L159" s="5" t="n">
        <v>2020</v>
      </c>
      <c r="M159" s="5" t="n">
        <v>2020</v>
      </c>
      <c r="N159" s="5" t="s">
        <v>49</v>
      </c>
      <c r="O159" s="5" t="s">
        <v>921</v>
      </c>
      <c r="P159" s="5" t="s">
        <v>51</v>
      </c>
      <c r="Q159" s="5" t="s">
        <v>119</v>
      </c>
      <c r="R159" s="5" t="s">
        <v>469</v>
      </c>
      <c r="S159" s="5" t="s">
        <v>922</v>
      </c>
      <c r="T159" s="5" t="s">
        <v>606</v>
      </c>
      <c r="U159" s="5" t="s">
        <v>923</v>
      </c>
      <c r="V159" s="5" t="s">
        <v>56</v>
      </c>
      <c r="W159" s="5" t="s">
        <v>897</v>
      </c>
      <c r="X159" s="6"/>
      <c r="Y159" s="5" t="s">
        <v>58</v>
      </c>
    </row>
    <row r="160" customFormat="false" ht="90" hidden="false" customHeight="true" outlineLevel="0" collapsed="false">
      <c r="A160" s="5" t="s">
        <v>42</v>
      </c>
      <c r="B160" s="5" t="s">
        <v>43</v>
      </c>
      <c r="C160" s="5" t="s">
        <v>889</v>
      </c>
      <c r="D160" s="5" t="s">
        <v>890</v>
      </c>
      <c r="E160" s="5"/>
      <c r="F160" s="5"/>
      <c r="G160" s="5" t="s">
        <v>46</v>
      </c>
      <c r="H160" s="5" t="s">
        <v>46</v>
      </c>
      <c r="I160" s="5" t="s">
        <v>209</v>
      </c>
      <c r="J160" s="5"/>
      <c r="K160" s="5" t="s">
        <v>258</v>
      </c>
      <c r="L160" s="5" t="n">
        <v>2019</v>
      </c>
      <c r="M160" s="5" t="n">
        <v>2019</v>
      </c>
      <c r="N160" s="5" t="s">
        <v>49</v>
      </c>
      <c r="O160" s="5" t="s">
        <v>924</v>
      </c>
      <c r="P160" s="5" t="s">
        <v>158</v>
      </c>
      <c r="Q160" s="5" t="s">
        <v>925</v>
      </c>
      <c r="R160" s="5" t="s">
        <v>926</v>
      </c>
      <c r="S160" s="5" t="s">
        <v>927</v>
      </c>
      <c r="T160" s="5" t="s">
        <v>928</v>
      </c>
      <c r="U160" s="5" t="s">
        <v>929</v>
      </c>
      <c r="V160" s="5" t="s">
        <v>162</v>
      </c>
      <c r="W160" s="5" t="s">
        <v>897</v>
      </c>
      <c r="X160" s="6"/>
      <c r="Y160" s="5" t="s">
        <v>58</v>
      </c>
    </row>
    <row r="161" customFormat="false" ht="90" hidden="false" customHeight="true" outlineLevel="0" collapsed="false">
      <c r="A161" s="5" t="s">
        <v>42</v>
      </c>
      <c r="B161" s="5" t="s">
        <v>43</v>
      </c>
      <c r="C161" s="5" t="s">
        <v>930</v>
      </c>
      <c r="D161" s="5" t="s">
        <v>931</v>
      </c>
      <c r="E161" s="5"/>
      <c r="F161" s="5"/>
      <c r="G161" s="5" t="s">
        <v>46</v>
      </c>
      <c r="H161" s="5" t="s">
        <v>46</v>
      </c>
      <c r="I161" s="5" t="s">
        <v>47</v>
      </c>
      <c r="J161" s="5"/>
      <c r="K161" s="5" t="s">
        <v>48</v>
      </c>
      <c r="L161" s="5" t="n">
        <v>2026</v>
      </c>
      <c r="M161" s="5" t="n">
        <v>2026</v>
      </c>
      <c r="N161" s="5" t="s">
        <v>49</v>
      </c>
      <c r="O161" s="5" t="s">
        <v>932</v>
      </c>
      <c r="P161" s="5" t="s">
        <v>158</v>
      </c>
      <c r="Q161" s="5" t="s">
        <v>727</v>
      </c>
      <c r="R161" s="5" t="s">
        <v>387</v>
      </c>
      <c r="S161" s="5" t="s">
        <v>385</v>
      </c>
      <c r="T161" s="5" t="s">
        <v>726</v>
      </c>
      <c r="U161" s="5"/>
      <c r="V161" s="5" t="s">
        <v>162</v>
      </c>
      <c r="W161" s="5" t="s">
        <v>933</v>
      </c>
      <c r="X161" s="6"/>
      <c r="Y161" s="5" t="s">
        <v>58</v>
      </c>
    </row>
    <row r="162" customFormat="false" ht="90" hidden="false" customHeight="true" outlineLevel="0" collapsed="false">
      <c r="A162" s="5" t="s">
        <v>42</v>
      </c>
      <c r="B162" s="5" t="s">
        <v>43</v>
      </c>
      <c r="C162" s="5" t="s">
        <v>934</v>
      </c>
      <c r="D162" s="5" t="s">
        <v>935</v>
      </c>
      <c r="E162" s="5"/>
      <c r="F162" s="5"/>
      <c r="G162" s="5" t="s">
        <v>46</v>
      </c>
      <c r="H162" s="5" t="s">
        <v>46</v>
      </c>
      <c r="I162" s="5" t="s">
        <v>47</v>
      </c>
      <c r="J162" s="5"/>
      <c r="K162" s="5" t="s">
        <v>48</v>
      </c>
      <c r="L162" s="5" t="n">
        <v>2026</v>
      </c>
      <c r="M162" s="5" t="n">
        <v>2026</v>
      </c>
      <c r="N162" s="5" t="s">
        <v>49</v>
      </c>
      <c r="O162" s="5" t="s">
        <v>936</v>
      </c>
      <c r="P162" s="5" t="s">
        <v>60</v>
      </c>
      <c r="Q162" s="5" t="s">
        <v>937</v>
      </c>
      <c r="R162" s="5" t="s">
        <v>938</v>
      </c>
      <c r="S162" s="5" t="s">
        <v>939</v>
      </c>
      <c r="T162" s="5" t="s">
        <v>940</v>
      </c>
      <c r="U162" s="5"/>
      <c r="V162" s="5" t="s">
        <v>65</v>
      </c>
      <c r="W162" s="5" t="s">
        <v>941</v>
      </c>
      <c r="X162" s="6"/>
      <c r="Y162" s="5" t="s">
        <v>58</v>
      </c>
    </row>
    <row r="163" customFormat="false" ht="90" hidden="false" customHeight="true" outlineLevel="0" collapsed="false">
      <c r="A163" s="5" t="s">
        <v>42</v>
      </c>
      <c r="B163" s="5" t="s">
        <v>43</v>
      </c>
      <c r="C163" s="5" t="s">
        <v>934</v>
      </c>
      <c r="D163" s="5" t="s">
        <v>935</v>
      </c>
      <c r="E163" s="5"/>
      <c r="F163" s="5"/>
      <c r="G163" s="5" t="s">
        <v>46</v>
      </c>
      <c r="H163" s="5" t="s">
        <v>46</v>
      </c>
      <c r="I163" s="5" t="s">
        <v>76</v>
      </c>
      <c r="J163" s="5"/>
      <c r="K163" s="5" t="s">
        <v>77</v>
      </c>
      <c r="L163" s="5" t="n">
        <v>2025</v>
      </c>
      <c r="M163" s="5" t="n">
        <v>2025</v>
      </c>
      <c r="N163" s="5" t="s">
        <v>49</v>
      </c>
      <c r="O163" s="5" t="s">
        <v>942</v>
      </c>
      <c r="P163" s="5" t="s">
        <v>69</v>
      </c>
      <c r="Q163" s="5" t="s">
        <v>943</v>
      </c>
      <c r="R163" s="5" t="s">
        <v>944</v>
      </c>
      <c r="S163" s="5" t="s">
        <v>945</v>
      </c>
      <c r="T163" s="5" t="s">
        <v>946</v>
      </c>
      <c r="U163" s="5" t="s">
        <v>947</v>
      </c>
      <c r="V163" s="5" t="s">
        <v>75</v>
      </c>
      <c r="W163" s="5" t="s">
        <v>941</v>
      </c>
      <c r="X163" s="6"/>
      <c r="Y163" s="5" t="s">
        <v>58</v>
      </c>
    </row>
    <row r="164" customFormat="false" ht="90" hidden="false" customHeight="true" outlineLevel="0" collapsed="false">
      <c r="A164" s="5" t="s">
        <v>42</v>
      </c>
      <c r="B164" s="5" t="s">
        <v>43</v>
      </c>
      <c r="C164" s="5" t="s">
        <v>934</v>
      </c>
      <c r="D164" s="5" t="s">
        <v>935</v>
      </c>
      <c r="E164" s="5"/>
      <c r="F164" s="5"/>
      <c r="G164" s="5" t="s">
        <v>46</v>
      </c>
      <c r="H164" s="5" t="s">
        <v>46</v>
      </c>
      <c r="I164" s="5" t="s">
        <v>66</v>
      </c>
      <c r="J164" s="5"/>
      <c r="K164" s="5" t="s">
        <v>67</v>
      </c>
      <c r="L164" s="5" t="n">
        <v>2025</v>
      </c>
      <c r="M164" s="5" t="n">
        <v>2025</v>
      </c>
      <c r="N164" s="5" t="s">
        <v>49</v>
      </c>
      <c r="O164" s="5" t="s">
        <v>948</v>
      </c>
      <c r="P164" s="5" t="s">
        <v>69</v>
      </c>
      <c r="Q164" s="5" t="s">
        <v>727</v>
      </c>
      <c r="R164" s="5" t="s">
        <v>949</v>
      </c>
      <c r="S164" s="5" t="s">
        <v>726</v>
      </c>
      <c r="T164" s="5" t="s">
        <v>386</v>
      </c>
      <c r="U164" s="5" t="s">
        <v>399</v>
      </c>
      <c r="V164" s="5" t="s">
        <v>75</v>
      </c>
      <c r="W164" s="5" t="s">
        <v>941</v>
      </c>
      <c r="X164" s="6"/>
      <c r="Y164" s="5" t="s">
        <v>58</v>
      </c>
    </row>
    <row r="165" customFormat="false" ht="90" hidden="false" customHeight="true" outlineLevel="0" collapsed="false">
      <c r="A165" s="5" t="s">
        <v>42</v>
      </c>
      <c r="B165" s="5" t="s">
        <v>43</v>
      </c>
      <c r="C165" s="5" t="s">
        <v>934</v>
      </c>
      <c r="D165" s="5" t="s">
        <v>935</v>
      </c>
      <c r="E165" s="5"/>
      <c r="F165" s="5"/>
      <c r="G165" s="5" t="s">
        <v>46</v>
      </c>
      <c r="H165" s="5" t="s">
        <v>46</v>
      </c>
      <c r="I165" s="5" t="s">
        <v>76</v>
      </c>
      <c r="J165" s="5"/>
      <c r="K165" s="5" t="s">
        <v>77</v>
      </c>
      <c r="L165" s="5" t="n">
        <v>2025</v>
      </c>
      <c r="M165" s="5" t="n">
        <v>2025</v>
      </c>
      <c r="N165" s="5" t="s">
        <v>49</v>
      </c>
      <c r="O165" s="5" t="s">
        <v>950</v>
      </c>
      <c r="P165" s="5" t="s">
        <v>158</v>
      </c>
      <c r="Q165" s="5" t="s">
        <v>951</v>
      </c>
      <c r="R165" s="5" t="s">
        <v>952</v>
      </c>
      <c r="S165" s="5" t="s">
        <v>953</v>
      </c>
      <c r="T165" s="5" t="s">
        <v>954</v>
      </c>
      <c r="U165" s="5" t="s">
        <v>955</v>
      </c>
      <c r="V165" s="5" t="s">
        <v>162</v>
      </c>
      <c r="W165" s="5" t="s">
        <v>941</v>
      </c>
      <c r="X165" s="6"/>
      <c r="Y165" s="5" t="s">
        <v>58</v>
      </c>
    </row>
    <row r="166" customFormat="false" ht="90" hidden="false" customHeight="true" outlineLevel="0" collapsed="false">
      <c r="A166" s="5" t="s">
        <v>42</v>
      </c>
      <c r="B166" s="5" t="s">
        <v>43</v>
      </c>
      <c r="C166" s="5" t="s">
        <v>956</v>
      </c>
      <c r="D166" s="5" t="s">
        <v>957</v>
      </c>
      <c r="E166" s="5"/>
      <c r="F166" s="5"/>
      <c r="G166" s="5" t="s">
        <v>46</v>
      </c>
      <c r="H166" s="5" t="s">
        <v>46</v>
      </c>
      <c r="I166" s="5" t="s">
        <v>47</v>
      </c>
      <c r="J166" s="5"/>
      <c r="K166" s="5" t="s">
        <v>48</v>
      </c>
      <c r="L166" s="5" t="n">
        <v>2026</v>
      </c>
      <c r="M166" s="5" t="n">
        <v>2026</v>
      </c>
      <c r="N166" s="5" t="s">
        <v>49</v>
      </c>
      <c r="O166" s="5" t="s">
        <v>958</v>
      </c>
      <c r="P166" s="5" t="s">
        <v>158</v>
      </c>
      <c r="Q166" s="5" t="s">
        <v>959</v>
      </c>
      <c r="R166" s="5" t="s">
        <v>960</v>
      </c>
      <c r="S166" s="5" t="s">
        <v>961</v>
      </c>
      <c r="T166" s="5" t="s">
        <v>962</v>
      </c>
      <c r="U166" s="5"/>
      <c r="V166" s="5" t="s">
        <v>162</v>
      </c>
      <c r="W166" s="5" t="s">
        <v>963</v>
      </c>
      <c r="X166" s="6"/>
      <c r="Y166" s="5" t="s">
        <v>58</v>
      </c>
    </row>
    <row r="167" customFormat="false" ht="90" hidden="false" customHeight="true" outlineLevel="0" collapsed="false">
      <c r="A167" s="5" t="s">
        <v>42</v>
      </c>
      <c r="B167" s="5" t="s">
        <v>43</v>
      </c>
      <c r="C167" s="5" t="s">
        <v>956</v>
      </c>
      <c r="D167" s="5" t="s">
        <v>957</v>
      </c>
      <c r="E167" s="5"/>
      <c r="F167" s="5"/>
      <c r="G167" s="5" t="s">
        <v>46</v>
      </c>
      <c r="H167" s="5" t="s">
        <v>46</v>
      </c>
      <c r="I167" s="5" t="s">
        <v>66</v>
      </c>
      <c r="J167" s="5"/>
      <c r="K167" s="5" t="s">
        <v>67</v>
      </c>
      <c r="L167" s="5" t="n">
        <v>2025</v>
      </c>
      <c r="M167" s="5" t="n">
        <v>2025</v>
      </c>
      <c r="N167" s="5" t="s">
        <v>49</v>
      </c>
      <c r="O167" s="5" t="s">
        <v>964</v>
      </c>
      <c r="P167" s="5" t="s">
        <v>60</v>
      </c>
      <c r="Q167" s="5" t="s">
        <v>965</v>
      </c>
      <c r="R167" s="5" t="s">
        <v>966</v>
      </c>
      <c r="S167" s="5" t="s">
        <v>967</v>
      </c>
      <c r="T167" s="5" t="s">
        <v>968</v>
      </c>
      <c r="U167" s="5" t="s">
        <v>969</v>
      </c>
      <c r="V167" s="5" t="s">
        <v>65</v>
      </c>
      <c r="W167" s="5" t="s">
        <v>963</v>
      </c>
      <c r="X167" s="6"/>
      <c r="Y167" s="5" t="s">
        <v>58</v>
      </c>
    </row>
    <row r="168" customFormat="false" ht="90" hidden="false" customHeight="true" outlineLevel="0" collapsed="false">
      <c r="A168" s="5" t="s">
        <v>42</v>
      </c>
      <c r="B168" s="5" t="s">
        <v>43</v>
      </c>
      <c r="C168" s="5" t="s">
        <v>956</v>
      </c>
      <c r="D168" s="5" t="s">
        <v>957</v>
      </c>
      <c r="E168" s="5"/>
      <c r="F168" s="5"/>
      <c r="G168" s="5" t="s">
        <v>46</v>
      </c>
      <c r="H168" s="5" t="s">
        <v>46</v>
      </c>
      <c r="I168" s="5" t="s">
        <v>283</v>
      </c>
      <c r="J168" s="5"/>
      <c r="K168" s="5" t="s">
        <v>284</v>
      </c>
      <c r="L168" s="5" t="n">
        <v>2024</v>
      </c>
      <c r="M168" s="5" t="n">
        <v>2024</v>
      </c>
      <c r="N168" s="5" t="s">
        <v>49</v>
      </c>
      <c r="O168" s="5" t="s">
        <v>970</v>
      </c>
      <c r="P168" s="5" t="s">
        <v>60</v>
      </c>
      <c r="Q168" s="5" t="s">
        <v>971</v>
      </c>
      <c r="R168" s="5" t="s">
        <v>972</v>
      </c>
      <c r="S168" s="5" t="s">
        <v>973</v>
      </c>
      <c r="T168" s="5" t="s">
        <v>974</v>
      </c>
      <c r="U168" s="5" t="s">
        <v>975</v>
      </c>
      <c r="V168" s="5" t="s">
        <v>65</v>
      </c>
      <c r="W168" s="5" t="s">
        <v>963</v>
      </c>
      <c r="X168" s="6"/>
      <c r="Y168" s="5" t="s">
        <v>58</v>
      </c>
    </row>
    <row r="169" customFormat="false" ht="90" hidden="false" customHeight="true" outlineLevel="0" collapsed="false">
      <c r="A169" s="5" t="s">
        <v>42</v>
      </c>
      <c r="B169" s="5" t="s">
        <v>43</v>
      </c>
      <c r="C169" s="5" t="s">
        <v>956</v>
      </c>
      <c r="D169" s="5" t="s">
        <v>957</v>
      </c>
      <c r="E169" s="5"/>
      <c r="F169" s="5"/>
      <c r="G169" s="5" t="s">
        <v>46</v>
      </c>
      <c r="H169" s="5" t="s">
        <v>46</v>
      </c>
      <c r="I169" s="5" t="s">
        <v>209</v>
      </c>
      <c r="J169" s="5"/>
      <c r="K169" s="5" t="s">
        <v>258</v>
      </c>
      <c r="L169" s="5" t="n">
        <v>2019</v>
      </c>
      <c r="M169" s="5" t="n">
        <v>2019</v>
      </c>
      <c r="N169" s="5" t="s">
        <v>49</v>
      </c>
      <c r="O169" s="5" t="s">
        <v>976</v>
      </c>
      <c r="P169" s="5" t="s">
        <v>69</v>
      </c>
      <c r="Q169" s="5" t="s">
        <v>977</v>
      </c>
      <c r="R169" s="5" t="s">
        <v>978</v>
      </c>
      <c r="S169" s="5" t="s">
        <v>979</v>
      </c>
      <c r="T169" s="5" t="s">
        <v>980</v>
      </c>
      <c r="U169" s="5" t="s">
        <v>981</v>
      </c>
      <c r="V169" s="5" t="s">
        <v>75</v>
      </c>
      <c r="W169" s="5" t="s">
        <v>963</v>
      </c>
      <c r="X169" s="6"/>
      <c r="Y169" s="5" t="s">
        <v>58</v>
      </c>
    </row>
    <row r="170" customFormat="false" ht="90" hidden="false" customHeight="true" outlineLevel="0" collapsed="false">
      <c r="A170" s="5" t="s">
        <v>42</v>
      </c>
      <c r="B170" s="5" t="s">
        <v>43</v>
      </c>
      <c r="C170" s="5" t="s">
        <v>982</v>
      </c>
      <c r="D170" s="5" t="s">
        <v>983</v>
      </c>
      <c r="E170" s="5"/>
      <c r="F170" s="5"/>
      <c r="G170" s="5" t="s">
        <v>46</v>
      </c>
      <c r="H170" s="5" t="s">
        <v>46</v>
      </c>
      <c r="I170" s="5" t="s">
        <v>76</v>
      </c>
      <c r="J170" s="5"/>
      <c r="K170" s="5" t="s">
        <v>77</v>
      </c>
      <c r="L170" s="5" t="n">
        <v>2025</v>
      </c>
      <c r="M170" s="5" t="n">
        <v>2025</v>
      </c>
      <c r="N170" s="5" t="s">
        <v>49</v>
      </c>
      <c r="O170" s="5" t="s">
        <v>984</v>
      </c>
      <c r="P170" s="5" t="s">
        <v>98</v>
      </c>
      <c r="Q170" s="5" t="s">
        <v>985</v>
      </c>
      <c r="R170" s="5" t="s">
        <v>986</v>
      </c>
      <c r="S170" s="5" t="s">
        <v>987</v>
      </c>
      <c r="T170" s="5" t="s">
        <v>988</v>
      </c>
      <c r="U170" s="5" t="s">
        <v>989</v>
      </c>
      <c r="V170" s="5" t="s">
        <v>104</v>
      </c>
      <c r="W170" s="5" t="s">
        <v>990</v>
      </c>
      <c r="X170" s="6"/>
      <c r="Y170" s="5" t="s">
        <v>58</v>
      </c>
    </row>
    <row r="171" customFormat="false" ht="90" hidden="false" customHeight="true" outlineLevel="0" collapsed="false">
      <c r="A171" s="5" t="s">
        <v>42</v>
      </c>
      <c r="B171" s="5" t="s">
        <v>43</v>
      </c>
      <c r="C171" s="5" t="s">
        <v>982</v>
      </c>
      <c r="D171" s="5" t="s">
        <v>983</v>
      </c>
      <c r="E171" s="5"/>
      <c r="F171" s="5"/>
      <c r="G171" s="5" t="s">
        <v>46</v>
      </c>
      <c r="H171" s="5" t="s">
        <v>46</v>
      </c>
      <c r="I171" s="5" t="s">
        <v>84</v>
      </c>
      <c r="J171" s="5"/>
      <c r="K171" s="5" t="s">
        <v>85</v>
      </c>
      <c r="L171" s="5" t="n">
        <v>2025</v>
      </c>
      <c r="M171" s="5" t="n">
        <v>2025</v>
      </c>
      <c r="N171" s="5" t="s">
        <v>49</v>
      </c>
      <c r="O171" s="5" t="s">
        <v>991</v>
      </c>
      <c r="P171" s="5" t="s">
        <v>60</v>
      </c>
      <c r="Q171" s="5" t="s">
        <v>992</v>
      </c>
      <c r="R171" s="5" t="s">
        <v>993</v>
      </c>
      <c r="S171" s="5" t="s">
        <v>994</v>
      </c>
      <c r="T171" s="5" t="s">
        <v>995</v>
      </c>
      <c r="U171" s="5"/>
      <c r="V171" s="5" t="s">
        <v>65</v>
      </c>
      <c r="W171" s="5" t="s">
        <v>990</v>
      </c>
      <c r="X171" s="6"/>
      <c r="Y171" s="5" t="s">
        <v>58</v>
      </c>
    </row>
    <row r="172" customFormat="false" ht="90" hidden="false" customHeight="true" outlineLevel="0" collapsed="false">
      <c r="A172" s="5" t="s">
        <v>42</v>
      </c>
      <c r="B172" s="5" t="s">
        <v>43</v>
      </c>
      <c r="C172" s="5" t="s">
        <v>982</v>
      </c>
      <c r="D172" s="5" t="s">
        <v>983</v>
      </c>
      <c r="E172" s="5"/>
      <c r="F172" s="5"/>
      <c r="G172" s="5" t="s">
        <v>46</v>
      </c>
      <c r="H172" s="5" t="s">
        <v>46</v>
      </c>
      <c r="I172" s="5" t="s">
        <v>126</v>
      </c>
      <c r="J172" s="5"/>
      <c r="K172" s="5" t="s">
        <v>127</v>
      </c>
      <c r="L172" s="5" t="n">
        <v>2025</v>
      </c>
      <c r="M172" s="5" t="n">
        <v>2025</v>
      </c>
      <c r="N172" s="5" t="s">
        <v>49</v>
      </c>
      <c r="O172" s="5" t="s">
        <v>996</v>
      </c>
      <c r="P172" s="5" t="s">
        <v>51</v>
      </c>
      <c r="Q172" s="5" t="s">
        <v>997</v>
      </c>
      <c r="R172" s="5" t="s">
        <v>998</v>
      </c>
      <c r="S172" s="5" t="s">
        <v>999</v>
      </c>
      <c r="T172" s="5" t="s">
        <v>1000</v>
      </c>
      <c r="U172" s="5" t="s">
        <v>1001</v>
      </c>
      <c r="V172" s="5" t="s">
        <v>56</v>
      </c>
      <c r="W172" s="5" t="s">
        <v>990</v>
      </c>
      <c r="X172" s="6"/>
      <c r="Y172" s="5" t="s">
        <v>58</v>
      </c>
    </row>
    <row r="173" customFormat="false" ht="90" hidden="false" customHeight="true" outlineLevel="0" collapsed="false">
      <c r="A173" s="5" t="s">
        <v>42</v>
      </c>
      <c r="B173" s="5" t="s">
        <v>43</v>
      </c>
      <c r="C173" s="5" t="s">
        <v>982</v>
      </c>
      <c r="D173" s="5" t="s">
        <v>983</v>
      </c>
      <c r="E173" s="5"/>
      <c r="F173" s="5"/>
      <c r="G173" s="5" t="s">
        <v>46</v>
      </c>
      <c r="H173" s="5" t="s">
        <v>46</v>
      </c>
      <c r="I173" s="5" t="s">
        <v>76</v>
      </c>
      <c r="J173" s="5"/>
      <c r="K173" s="5" t="s">
        <v>77</v>
      </c>
      <c r="L173" s="5" t="n">
        <v>2025</v>
      </c>
      <c r="M173" s="5" t="n">
        <v>2025</v>
      </c>
      <c r="N173" s="5" t="s">
        <v>49</v>
      </c>
      <c r="O173" s="5" t="s">
        <v>1002</v>
      </c>
      <c r="P173" s="5" t="s">
        <v>158</v>
      </c>
      <c r="Q173" s="5" t="s">
        <v>1003</v>
      </c>
      <c r="R173" s="5" t="s">
        <v>1004</v>
      </c>
      <c r="S173" s="5" t="s">
        <v>1005</v>
      </c>
      <c r="T173" s="5" t="s">
        <v>1006</v>
      </c>
      <c r="U173" s="5" t="s">
        <v>1007</v>
      </c>
      <c r="V173" s="5" t="s">
        <v>162</v>
      </c>
      <c r="W173" s="5" t="s">
        <v>990</v>
      </c>
      <c r="X173" s="6"/>
      <c r="Y173" s="5" t="s">
        <v>58</v>
      </c>
    </row>
    <row r="174" customFormat="false" ht="90" hidden="false" customHeight="true" outlineLevel="0" collapsed="false">
      <c r="A174" s="5" t="s">
        <v>42</v>
      </c>
      <c r="B174" s="5" t="s">
        <v>43</v>
      </c>
      <c r="C174" s="5" t="s">
        <v>982</v>
      </c>
      <c r="D174" s="5" t="s">
        <v>983</v>
      </c>
      <c r="E174" s="5"/>
      <c r="F174" s="5"/>
      <c r="G174" s="5" t="s">
        <v>46</v>
      </c>
      <c r="H174" s="5" t="s">
        <v>46</v>
      </c>
      <c r="I174" s="5" t="s">
        <v>47</v>
      </c>
      <c r="J174" s="5"/>
      <c r="K174" s="5" t="s">
        <v>117</v>
      </c>
      <c r="L174" s="5" t="n">
        <v>2024</v>
      </c>
      <c r="M174" s="5" t="n">
        <v>2024</v>
      </c>
      <c r="N174" s="5" t="s">
        <v>49</v>
      </c>
      <c r="O174" s="5" t="s">
        <v>1008</v>
      </c>
      <c r="P174" s="5" t="s">
        <v>352</v>
      </c>
      <c r="Q174" s="5" t="s">
        <v>1009</v>
      </c>
      <c r="R174" s="5" t="s">
        <v>1010</v>
      </c>
      <c r="S174" s="5" t="s">
        <v>1011</v>
      </c>
      <c r="T174" s="5" t="s">
        <v>1012</v>
      </c>
      <c r="U174" s="5" t="s">
        <v>1013</v>
      </c>
      <c r="V174" s="5"/>
      <c r="W174" s="5" t="s">
        <v>990</v>
      </c>
      <c r="X174" s="6"/>
      <c r="Y174" s="5" t="s">
        <v>58</v>
      </c>
    </row>
    <row r="175" customFormat="false" ht="90" hidden="false" customHeight="true" outlineLevel="0" collapsed="false">
      <c r="A175" s="5" t="s">
        <v>42</v>
      </c>
      <c r="B175" s="5" t="s">
        <v>43</v>
      </c>
      <c r="C175" s="5" t="s">
        <v>982</v>
      </c>
      <c r="D175" s="5" t="s">
        <v>983</v>
      </c>
      <c r="E175" s="5"/>
      <c r="F175" s="5"/>
      <c r="G175" s="5" t="s">
        <v>46</v>
      </c>
      <c r="H175" s="5" t="s">
        <v>46</v>
      </c>
      <c r="I175" s="5" t="s">
        <v>135</v>
      </c>
      <c r="J175" s="5"/>
      <c r="K175" s="5" t="s">
        <v>136</v>
      </c>
      <c r="L175" s="5" t="n">
        <v>2024</v>
      </c>
      <c r="M175" s="5" t="n">
        <v>2024</v>
      </c>
      <c r="N175" s="5" t="s">
        <v>49</v>
      </c>
      <c r="O175" s="5" t="s">
        <v>1014</v>
      </c>
      <c r="P175" s="5" t="s">
        <v>352</v>
      </c>
      <c r="Q175" s="5" t="s">
        <v>1015</v>
      </c>
      <c r="R175" s="5" t="s">
        <v>1016</v>
      </c>
      <c r="S175" s="5" t="s">
        <v>1017</v>
      </c>
      <c r="T175" s="5" t="s">
        <v>1018</v>
      </c>
      <c r="U175" s="5" t="s">
        <v>1019</v>
      </c>
      <c r="V175" s="5"/>
      <c r="W175" s="5" t="s">
        <v>990</v>
      </c>
      <c r="X175" s="6"/>
      <c r="Y175" s="5" t="s">
        <v>58</v>
      </c>
    </row>
    <row r="176" customFormat="false" ht="90" hidden="false" customHeight="true" outlineLevel="0" collapsed="false">
      <c r="A176" s="5" t="s">
        <v>42</v>
      </c>
      <c r="B176" s="5" t="s">
        <v>43</v>
      </c>
      <c r="C176" s="5" t="s">
        <v>982</v>
      </c>
      <c r="D176" s="5" t="s">
        <v>983</v>
      </c>
      <c r="E176" s="5"/>
      <c r="F176" s="5"/>
      <c r="G176" s="5" t="s">
        <v>46</v>
      </c>
      <c r="H176" s="5" t="s">
        <v>46</v>
      </c>
      <c r="I176" s="5" t="s">
        <v>135</v>
      </c>
      <c r="J176" s="5"/>
      <c r="K176" s="5" t="s">
        <v>136</v>
      </c>
      <c r="L176" s="5" t="n">
        <v>2024</v>
      </c>
      <c r="M176" s="5" t="n">
        <v>2024</v>
      </c>
      <c r="N176" s="5" t="s">
        <v>49</v>
      </c>
      <c r="O176" s="5" t="s">
        <v>1020</v>
      </c>
      <c r="P176" s="5" t="s">
        <v>60</v>
      </c>
      <c r="Q176" s="5" t="s">
        <v>466</v>
      </c>
      <c r="R176" s="5" t="s">
        <v>1021</v>
      </c>
      <c r="S176" s="5" t="s">
        <v>549</v>
      </c>
      <c r="T176" s="5" t="s">
        <v>787</v>
      </c>
      <c r="U176" s="5" t="s">
        <v>1022</v>
      </c>
      <c r="V176" s="5" t="s">
        <v>65</v>
      </c>
      <c r="W176" s="5" t="s">
        <v>990</v>
      </c>
      <c r="X176" s="6"/>
      <c r="Y176" s="5" t="s">
        <v>58</v>
      </c>
    </row>
    <row r="177" customFormat="false" ht="90" hidden="false" customHeight="true" outlineLevel="0" collapsed="false">
      <c r="A177" s="5" t="s">
        <v>42</v>
      </c>
      <c r="B177" s="5" t="s">
        <v>43</v>
      </c>
      <c r="C177" s="5" t="s">
        <v>982</v>
      </c>
      <c r="D177" s="5" t="s">
        <v>983</v>
      </c>
      <c r="E177" s="5"/>
      <c r="F177" s="5"/>
      <c r="G177" s="5" t="s">
        <v>46</v>
      </c>
      <c r="H177" s="5" t="s">
        <v>46</v>
      </c>
      <c r="I177" s="5" t="s">
        <v>283</v>
      </c>
      <c r="J177" s="5"/>
      <c r="K177" s="5" t="s">
        <v>284</v>
      </c>
      <c r="L177" s="5" t="n">
        <v>2024</v>
      </c>
      <c r="M177" s="5" t="n">
        <v>2024</v>
      </c>
      <c r="N177" s="5" t="s">
        <v>49</v>
      </c>
      <c r="O177" s="5" t="s">
        <v>1023</v>
      </c>
      <c r="P177" s="5" t="s">
        <v>352</v>
      </c>
      <c r="Q177" s="5" t="s">
        <v>1024</v>
      </c>
      <c r="R177" s="5" t="s">
        <v>1025</v>
      </c>
      <c r="S177" s="5" t="s">
        <v>1026</v>
      </c>
      <c r="T177" s="5" t="s">
        <v>1027</v>
      </c>
      <c r="U177" s="5" t="s">
        <v>1028</v>
      </c>
      <c r="V177" s="5"/>
      <c r="W177" s="5" t="s">
        <v>990</v>
      </c>
      <c r="X177" s="6"/>
      <c r="Y177" s="5" t="s">
        <v>58</v>
      </c>
    </row>
    <row r="178" customFormat="false" ht="90" hidden="false" customHeight="true" outlineLevel="0" collapsed="false">
      <c r="A178" s="5" t="s">
        <v>42</v>
      </c>
      <c r="B178" s="5" t="s">
        <v>43</v>
      </c>
      <c r="C178" s="5" t="s">
        <v>982</v>
      </c>
      <c r="D178" s="5" t="s">
        <v>983</v>
      </c>
      <c r="E178" s="5"/>
      <c r="F178" s="5"/>
      <c r="G178" s="5" t="s">
        <v>46</v>
      </c>
      <c r="H178" s="5" t="s">
        <v>46</v>
      </c>
      <c r="I178" s="5" t="s">
        <v>283</v>
      </c>
      <c r="J178" s="5"/>
      <c r="K178" s="5" t="s">
        <v>284</v>
      </c>
      <c r="L178" s="5" t="n">
        <v>2024</v>
      </c>
      <c r="M178" s="5" t="n">
        <v>2024</v>
      </c>
      <c r="N178" s="5" t="s">
        <v>49</v>
      </c>
      <c r="O178" s="5" t="s">
        <v>1029</v>
      </c>
      <c r="P178" s="5" t="s">
        <v>98</v>
      </c>
      <c r="Q178" s="5" t="s">
        <v>1030</v>
      </c>
      <c r="R178" s="5" t="s">
        <v>1031</v>
      </c>
      <c r="S178" s="5" t="s">
        <v>1032</v>
      </c>
      <c r="T178" s="5" t="s">
        <v>1033</v>
      </c>
      <c r="U178" s="5" t="s">
        <v>1034</v>
      </c>
      <c r="V178" s="5" t="s">
        <v>104</v>
      </c>
      <c r="W178" s="5" t="s">
        <v>990</v>
      </c>
      <c r="X178" s="6"/>
      <c r="Y178" s="5" t="s">
        <v>58</v>
      </c>
    </row>
    <row r="179" customFormat="false" ht="90" hidden="false" customHeight="true" outlineLevel="0" collapsed="false">
      <c r="A179" s="5" t="s">
        <v>42</v>
      </c>
      <c r="B179" s="5" t="s">
        <v>43</v>
      </c>
      <c r="C179" s="5" t="s">
        <v>982</v>
      </c>
      <c r="D179" s="5" t="s">
        <v>983</v>
      </c>
      <c r="E179" s="5"/>
      <c r="F179" s="5"/>
      <c r="G179" s="5" t="s">
        <v>46</v>
      </c>
      <c r="H179" s="5" t="s">
        <v>46</v>
      </c>
      <c r="I179" s="5" t="s">
        <v>283</v>
      </c>
      <c r="J179" s="5"/>
      <c r="K179" s="5" t="s">
        <v>284</v>
      </c>
      <c r="L179" s="5" t="n">
        <v>2024</v>
      </c>
      <c r="M179" s="5" t="n">
        <v>2024</v>
      </c>
      <c r="N179" s="5" t="s">
        <v>49</v>
      </c>
      <c r="O179" s="5" t="s">
        <v>1035</v>
      </c>
      <c r="P179" s="5" t="s">
        <v>69</v>
      </c>
      <c r="Q179" s="5" t="s">
        <v>1036</v>
      </c>
      <c r="R179" s="5" t="s">
        <v>1037</v>
      </c>
      <c r="S179" s="5" t="s">
        <v>1038</v>
      </c>
      <c r="T179" s="5" t="s">
        <v>1039</v>
      </c>
      <c r="U179" s="5" t="s">
        <v>1040</v>
      </c>
      <c r="V179" s="5" t="s">
        <v>75</v>
      </c>
      <c r="W179" s="5" t="s">
        <v>990</v>
      </c>
      <c r="X179" s="6"/>
      <c r="Y179" s="5" t="s">
        <v>58</v>
      </c>
    </row>
    <row r="180" customFormat="false" ht="90" hidden="false" customHeight="true" outlineLevel="0" collapsed="false">
      <c r="A180" s="5" t="s">
        <v>42</v>
      </c>
      <c r="B180" s="5" t="s">
        <v>43</v>
      </c>
      <c r="C180" s="5" t="s">
        <v>982</v>
      </c>
      <c r="D180" s="5" t="s">
        <v>983</v>
      </c>
      <c r="E180" s="5"/>
      <c r="F180" s="5"/>
      <c r="G180" s="5" t="s">
        <v>46</v>
      </c>
      <c r="H180" s="5" t="s">
        <v>46</v>
      </c>
      <c r="I180" s="5" t="s">
        <v>363</v>
      </c>
      <c r="J180" s="5"/>
      <c r="K180" s="5" t="s">
        <v>364</v>
      </c>
      <c r="L180" s="5" t="n">
        <v>2023</v>
      </c>
      <c r="M180" s="5" t="n">
        <v>2023</v>
      </c>
      <c r="N180" s="5" t="s">
        <v>49</v>
      </c>
      <c r="O180" s="5" t="s">
        <v>1041</v>
      </c>
      <c r="P180" s="5" t="s">
        <v>51</v>
      </c>
      <c r="Q180" s="5" t="s">
        <v>206</v>
      </c>
      <c r="R180" s="5" t="s">
        <v>123</v>
      </c>
      <c r="S180" s="5" t="s">
        <v>121</v>
      </c>
      <c r="T180" s="5" t="s">
        <v>1042</v>
      </c>
      <c r="U180" s="5" t="s">
        <v>208</v>
      </c>
      <c r="V180" s="5" t="s">
        <v>56</v>
      </c>
      <c r="W180" s="5" t="s">
        <v>990</v>
      </c>
      <c r="X180" s="6"/>
      <c r="Y180" s="5" t="s">
        <v>58</v>
      </c>
    </row>
    <row r="181" customFormat="false" ht="90" hidden="false" customHeight="true" outlineLevel="0" collapsed="false">
      <c r="A181" s="5" t="s">
        <v>42</v>
      </c>
      <c r="B181" s="5" t="s">
        <v>43</v>
      </c>
      <c r="C181" s="5" t="s">
        <v>982</v>
      </c>
      <c r="D181" s="5" t="s">
        <v>983</v>
      </c>
      <c r="E181" s="5"/>
      <c r="F181" s="5"/>
      <c r="G181" s="5" t="s">
        <v>46</v>
      </c>
      <c r="H181" s="5" t="s">
        <v>46</v>
      </c>
      <c r="I181" s="5" t="s">
        <v>203</v>
      </c>
      <c r="J181" s="5"/>
      <c r="K181" s="5" t="s">
        <v>204</v>
      </c>
      <c r="L181" s="5" t="n">
        <v>2023</v>
      </c>
      <c r="M181" s="5" t="n">
        <v>2023</v>
      </c>
      <c r="N181" s="5" t="s">
        <v>49</v>
      </c>
      <c r="O181" s="5" t="s">
        <v>1043</v>
      </c>
      <c r="P181" s="5" t="s">
        <v>158</v>
      </c>
      <c r="Q181" s="5" t="s">
        <v>121</v>
      </c>
      <c r="R181" s="5" t="s">
        <v>207</v>
      </c>
      <c r="S181" s="5" t="s">
        <v>1042</v>
      </c>
      <c r="T181" s="5" t="s">
        <v>208</v>
      </c>
      <c r="U181" s="5" t="s">
        <v>1044</v>
      </c>
      <c r="V181" s="5" t="s">
        <v>162</v>
      </c>
      <c r="W181" s="5" t="s">
        <v>990</v>
      </c>
      <c r="X181" s="6"/>
      <c r="Y181" s="5" t="s">
        <v>58</v>
      </c>
    </row>
    <row r="182" customFormat="false" ht="90" hidden="false" customHeight="true" outlineLevel="0" collapsed="false">
      <c r="A182" s="5" t="s">
        <v>42</v>
      </c>
      <c r="B182" s="5" t="s">
        <v>43</v>
      </c>
      <c r="C182" s="5" t="s">
        <v>982</v>
      </c>
      <c r="D182" s="5" t="s">
        <v>983</v>
      </c>
      <c r="E182" s="5"/>
      <c r="F182" s="5"/>
      <c r="G182" s="5" t="s">
        <v>46</v>
      </c>
      <c r="H182" s="5" t="s">
        <v>46</v>
      </c>
      <c r="I182" s="5" t="s">
        <v>140</v>
      </c>
      <c r="J182" s="5"/>
      <c r="K182" s="5" t="s">
        <v>141</v>
      </c>
      <c r="L182" s="5" t="n">
        <v>2023</v>
      </c>
      <c r="M182" s="5" t="n">
        <v>2023</v>
      </c>
      <c r="N182" s="5" t="s">
        <v>49</v>
      </c>
      <c r="O182" s="5" t="s">
        <v>1045</v>
      </c>
      <c r="P182" s="5" t="s">
        <v>98</v>
      </c>
      <c r="Q182" s="5" t="s">
        <v>123</v>
      </c>
      <c r="R182" s="5" t="s">
        <v>122</v>
      </c>
      <c r="S182" s="5" t="s">
        <v>360</v>
      </c>
      <c r="T182" s="5" t="s">
        <v>120</v>
      </c>
      <c r="U182" s="5" t="s">
        <v>119</v>
      </c>
      <c r="V182" s="5" t="s">
        <v>104</v>
      </c>
      <c r="W182" s="5" t="s">
        <v>990</v>
      </c>
      <c r="X182" s="6"/>
      <c r="Y182" s="5" t="s">
        <v>58</v>
      </c>
    </row>
    <row r="183" customFormat="false" ht="90" hidden="false" customHeight="true" outlineLevel="0" collapsed="false">
      <c r="A183" s="5" t="s">
        <v>42</v>
      </c>
      <c r="B183" s="5" t="s">
        <v>43</v>
      </c>
      <c r="C183" s="5" t="s">
        <v>982</v>
      </c>
      <c r="D183" s="5" t="s">
        <v>983</v>
      </c>
      <c r="E183" s="5"/>
      <c r="F183" s="5"/>
      <c r="G183" s="5" t="s">
        <v>46</v>
      </c>
      <c r="H183" s="5" t="s">
        <v>46</v>
      </c>
      <c r="I183" s="5" t="s">
        <v>147</v>
      </c>
      <c r="J183" s="5"/>
      <c r="K183" s="5" t="s">
        <v>148</v>
      </c>
      <c r="L183" s="5" t="n">
        <v>2022</v>
      </c>
      <c r="M183" s="5" t="n">
        <v>2022</v>
      </c>
      <c r="N183" s="5" t="s">
        <v>49</v>
      </c>
      <c r="O183" s="5" t="s">
        <v>1046</v>
      </c>
      <c r="P183" s="5" t="s">
        <v>51</v>
      </c>
      <c r="Q183" s="5" t="s">
        <v>119</v>
      </c>
      <c r="R183" s="5" t="s">
        <v>121</v>
      </c>
      <c r="S183" s="5" t="s">
        <v>120</v>
      </c>
      <c r="T183" s="5" t="s">
        <v>450</v>
      </c>
      <c r="U183" s="5" t="s">
        <v>123</v>
      </c>
      <c r="V183" s="5" t="s">
        <v>56</v>
      </c>
      <c r="W183" s="5" t="s">
        <v>990</v>
      </c>
      <c r="X183" s="6"/>
      <c r="Y183" s="5" t="s">
        <v>58</v>
      </c>
    </row>
    <row r="184" customFormat="false" ht="90" hidden="false" customHeight="true" outlineLevel="0" collapsed="false">
      <c r="A184" s="5" t="s">
        <v>42</v>
      </c>
      <c r="B184" s="5" t="s">
        <v>43</v>
      </c>
      <c r="C184" s="5" t="s">
        <v>982</v>
      </c>
      <c r="D184" s="5" t="s">
        <v>983</v>
      </c>
      <c r="E184" s="5"/>
      <c r="F184" s="5"/>
      <c r="G184" s="5" t="s">
        <v>46</v>
      </c>
      <c r="H184" s="5" t="s">
        <v>46</v>
      </c>
      <c r="I184" s="5" t="s">
        <v>155</v>
      </c>
      <c r="J184" s="5"/>
      <c r="K184" s="5" t="s">
        <v>156</v>
      </c>
      <c r="L184" s="5" t="n">
        <v>2020</v>
      </c>
      <c r="M184" s="5" t="n">
        <v>2020</v>
      </c>
      <c r="N184" s="5" t="s">
        <v>49</v>
      </c>
      <c r="O184" s="5" t="s">
        <v>1047</v>
      </c>
      <c r="P184" s="5" t="s">
        <v>69</v>
      </c>
      <c r="Q184" s="5" t="s">
        <v>1048</v>
      </c>
      <c r="R184" s="5" t="s">
        <v>1049</v>
      </c>
      <c r="S184" s="5" t="s">
        <v>1050</v>
      </c>
      <c r="T184" s="5" t="s">
        <v>1051</v>
      </c>
      <c r="U184" s="5" t="s">
        <v>1052</v>
      </c>
      <c r="V184" s="5" t="s">
        <v>75</v>
      </c>
      <c r="W184" s="5" t="s">
        <v>990</v>
      </c>
      <c r="X184" s="6"/>
      <c r="Y184" s="5" t="s">
        <v>58</v>
      </c>
    </row>
    <row r="185" customFormat="false" ht="90" hidden="false" customHeight="true" outlineLevel="0" collapsed="false">
      <c r="A185" s="5" t="s">
        <v>42</v>
      </c>
      <c r="B185" s="5" t="s">
        <v>43</v>
      </c>
      <c r="C185" s="5" t="s">
        <v>982</v>
      </c>
      <c r="D185" s="5" t="s">
        <v>983</v>
      </c>
      <c r="E185" s="5"/>
      <c r="F185" s="5"/>
      <c r="G185" s="5" t="s">
        <v>46</v>
      </c>
      <c r="H185" s="5" t="s">
        <v>46</v>
      </c>
      <c r="I185" s="5" t="s">
        <v>155</v>
      </c>
      <c r="J185" s="5"/>
      <c r="K185" s="5" t="s">
        <v>156</v>
      </c>
      <c r="L185" s="5" t="n">
        <v>2020</v>
      </c>
      <c r="M185" s="5" t="n">
        <v>2020</v>
      </c>
      <c r="N185" s="5" t="s">
        <v>49</v>
      </c>
      <c r="O185" s="5" t="s">
        <v>1053</v>
      </c>
      <c r="P185" s="5" t="s">
        <v>60</v>
      </c>
      <c r="Q185" s="5" t="s">
        <v>1054</v>
      </c>
      <c r="R185" s="5" t="s">
        <v>606</v>
      </c>
      <c r="S185" s="5" t="s">
        <v>167</v>
      </c>
      <c r="T185" s="5" t="s">
        <v>119</v>
      </c>
      <c r="U185" s="5" t="s">
        <v>469</v>
      </c>
      <c r="V185" s="5" t="s">
        <v>65</v>
      </c>
      <c r="W185" s="5" t="s">
        <v>990</v>
      </c>
      <c r="X185" s="6"/>
      <c r="Y185" s="5" t="s">
        <v>58</v>
      </c>
    </row>
    <row r="186" customFormat="false" ht="90" hidden="false" customHeight="true" outlineLevel="0" collapsed="false">
      <c r="A186" s="5" t="s">
        <v>42</v>
      </c>
      <c r="B186" s="5" t="s">
        <v>43</v>
      </c>
      <c r="C186" s="5" t="s">
        <v>982</v>
      </c>
      <c r="D186" s="5" t="s">
        <v>983</v>
      </c>
      <c r="E186" s="5"/>
      <c r="F186" s="5"/>
      <c r="G186" s="5" t="s">
        <v>46</v>
      </c>
      <c r="H186" s="5" t="s">
        <v>46</v>
      </c>
      <c r="I186" s="5" t="s">
        <v>218</v>
      </c>
      <c r="J186" s="5"/>
      <c r="K186" s="5" t="s">
        <v>219</v>
      </c>
      <c r="L186" s="5" t="n">
        <v>2020</v>
      </c>
      <c r="M186" s="5" t="n">
        <v>2020</v>
      </c>
      <c r="N186" s="5" t="s">
        <v>49</v>
      </c>
      <c r="O186" s="5" t="s">
        <v>1055</v>
      </c>
      <c r="P186" s="5" t="s">
        <v>51</v>
      </c>
      <c r="Q186" s="5" t="s">
        <v>1010</v>
      </c>
      <c r="R186" s="5" t="s">
        <v>1056</v>
      </c>
      <c r="S186" s="5" t="s">
        <v>1013</v>
      </c>
      <c r="T186" s="5" t="s">
        <v>1057</v>
      </c>
      <c r="U186" s="5" t="s">
        <v>1058</v>
      </c>
      <c r="V186" s="5" t="s">
        <v>56</v>
      </c>
      <c r="W186" s="5" t="s">
        <v>990</v>
      </c>
      <c r="X186" s="6"/>
      <c r="Y186" s="5" t="s">
        <v>58</v>
      </c>
    </row>
    <row r="187" customFormat="false" ht="90" hidden="false" customHeight="true" outlineLevel="0" collapsed="false">
      <c r="A187" s="5" t="s">
        <v>42</v>
      </c>
      <c r="B187" s="5" t="s">
        <v>43</v>
      </c>
      <c r="C187" s="5" t="s">
        <v>982</v>
      </c>
      <c r="D187" s="5" t="s">
        <v>983</v>
      </c>
      <c r="E187" s="5"/>
      <c r="F187" s="5"/>
      <c r="G187" s="5" t="s">
        <v>46</v>
      </c>
      <c r="H187" s="5" t="s">
        <v>46</v>
      </c>
      <c r="I187" s="5" t="s">
        <v>209</v>
      </c>
      <c r="J187" s="5"/>
      <c r="K187" s="5" t="s">
        <v>258</v>
      </c>
      <c r="L187" s="5" t="n">
        <v>2019</v>
      </c>
      <c r="M187" s="5" t="n">
        <v>2019</v>
      </c>
      <c r="N187" s="5" t="s">
        <v>49</v>
      </c>
      <c r="O187" s="5" t="s">
        <v>1059</v>
      </c>
      <c r="P187" s="5" t="s">
        <v>60</v>
      </c>
      <c r="Q187" s="5" t="s">
        <v>1060</v>
      </c>
      <c r="R187" s="5" t="s">
        <v>1061</v>
      </c>
      <c r="S187" s="5" t="s">
        <v>1062</v>
      </c>
      <c r="T187" s="5" t="s">
        <v>1063</v>
      </c>
      <c r="U187" s="5" t="s">
        <v>1064</v>
      </c>
      <c r="V187" s="5" t="s">
        <v>65</v>
      </c>
      <c r="W187" s="5" t="s">
        <v>990</v>
      </c>
      <c r="X187" s="6"/>
      <c r="Y187" s="5" t="s">
        <v>58</v>
      </c>
    </row>
    <row r="188" customFormat="false" ht="90" hidden="false" customHeight="true" outlineLevel="0" collapsed="false">
      <c r="A188" s="5" t="s">
        <v>42</v>
      </c>
      <c r="B188" s="5" t="s">
        <v>43</v>
      </c>
      <c r="C188" s="5" t="s">
        <v>1065</v>
      </c>
      <c r="D188" s="5" t="s">
        <v>1066</v>
      </c>
      <c r="E188" s="5"/>
      <c r="F188" s="5"/>
      <c r="G188" s="5" t="s">
        <v>46</v>
      </c>
      <c r="H188" s="5" t="s">
        <v>46</v>
      </c>
      <c r="I188" s="5" t="s">
        <v>155</v>
      </c>
      <c r="J188" s="5"/>
      <c r="K188" s="5" t="s">
        <v>361</v>
      </c>
      <c r="L188" s="5" t="n">
        <v>2024</v>
      </c>
      <c r="M188" s="5" t="n">
        <v>2024</v>
      </c>
      <c r="N188" s="5" t="s">
        <v>49</v>
      </c>
      <c r="O188" s="5" t="s">
        <v>1067</v>
      </c>
      <c r="P188" s="5" t="s">
        <v>158</v>
      </c>
      <c r="Q188" s="5" t="s">
        <v>1068</v>
      </c>
      <c r="R188" s="5" t="s">
        <v>1069</v>
      </c>
      <c r="S188" s="5" t="s">
        <v>1070</v>
      </c>
      <c r="T188" s="5" t="s">
        <v>1071</v>
      </c>
      <c r="U188" s="5" t="s">
        <v>1072</v>
      </c>
      <c r="V188" s="5" t="s">
        <v>162</v>
      </c>
      <c r="W188" s="5" t="s">
        <v>1073</v>
      </c>
      <c r="X188" s="6"/>
      <c r="Y188" s="5" t="s">
        <v>58</v>
      </c>
    </row>
    <row r="189" customFormat="false" ht="90" hidden="false" customHeight="true" outlineLevel="0" collapsed="false">
      <c r="A189" s="5" t="s">
        <v>42</v>
      </c>
      <c r="B189" s="5" t="s">
        <v>43</v>
      </c>
      <c r="C189" s="5" t="s">
        <v>1065</v>
      </c>
      <c r="D189" s="5" t="s">
        <v>1066</v>
      </c>
      <c r="E189" s="5"/>
      <c r="F189" s="5"/>
      <c r="G189" s="5" t="s">
        <v>46</v>
      </c>
      <c r="H189" s="5" t="s">
        <v>46</v>
      </c>
      <c r="I189" s="5" t="s">
        <v>363</v>
      </c>
      <c r="J189" s="5"/>
      <c r="K189" s="5" t="s">
        <v>364</v>
      </c>
      <c r="L189" s="5" t="n">
        <v>2023</v>
      </c>
      <c r="M189" s="5" t="n">
        <v>2023</v>
      </c>
      <c r="N189" s="5" t="s">
        <v>49</v>
      </c>
      <c r="O189" s="5" t="s">
        <v>1074</v>
      </c>
      <c r="P189" s="5" t="s">
        <v>69</v>
      </c>
      <c r="Q189" s="5" t="s">
        <v>206</v>
      </c>
      <c r="R189" s="5" t="s">
        <v>123</v>
      </c>
      <c r="S189" s="5" t="s">
        <v>121</v>
      </c>
      <c r="T189" s="5" t="s">
        <v>120</v>
      </c>
      <c r="U189" s="5" t="s">
        <v>360</v>
      </c>
      <c r="V189" s="5" t="s">
        <v>75</v>
      </c>
      <c r="W189" s="5" t="s">
        <v>1073</v>
      </c>
      <c r="X189" s="6"/>
      <c r="Y189" s="5" t="s">
        <v>58</v>
      </c>
    </row>
    <row r="190" customFormat="false" ht="90" hidden="false" customHeight="true" outlineLevel="0" collapsed="false">
      <c r="A190" s="5" t="s">
        <v>42</v>
      </c>
      <c r="B190" s="5" t="s">
        <v>43</v>
      </c>
      <c r="C190" s="5" t="s">
        <v>1065</v>
      </c>
      <c r="D190" s="5" t="s">
        <v>1066</v>
      </c>
      <c r="E190" s="5"/>
      <c r="F190" s="5"/>
      <c r="G190" s="5" t="s">
        <v>46</v>
      </c>
      <c r="H190" s="5" t="s">
        <v>46</v>
      </c>
      <c r="I190" s="5" t="s">
        <v>155</v>
      </c>
      <c r="J190" s="5"/>
      <c r="K190" s="5" t="s">
        <v>156</v>
      </c>
      <c r="L190" s="5" t="n">
        <v>2020</v>
      </c>
      <c r="M190" s="5" t="n">
        <v>2020</v>
      </c>
      <c r="N190" s="5" t="s">
        <v>49</v>
      </c>
      <c r="O190" s="5" t="s">
        <v>1075</v>
      </c>
      <c r="P190" s="5" t="s">
        <v>158</v>
      </c>
      <c r="Q190" s="5" t="s">
        <v>164</v>
      </c>
      <c r="R190" s="5" t="s">
        <v>609</v>
      </c>
      <c r="S190" s="5" t="s">
        <v>119</v>
      </c>
      <c r="T190" s="5" t="s">
        <v>1076</v>
      </c>
      <c r="U190" s="5" t="s">
        <v>469</v>
      </c>
      <c r="V190" s="5" t="s">
        <v>162</v>
      </c>
      <c r="W190" s="5" t="s">
        <v>1073</v>
      </c>
      <c r="X190" s="6"/>
      <c r="Y190" s="5" t="s">
        <v>58</v>
      </c>
    </row>
    <row r="191" customFormat="false" ht="90" hidden="false" customHeight="true" outlineLevel="0" collapsed="false">
      <c r="A191" s="5" t="s">
        <v>42</v>
      </c>
      <c r="B191" s="5" t="s">
        <v>43</v>
      </c>
      <c r="C191" s="5" t="s">
        <v>1077</v>
      </c>
      <c r="D191" s="5" t="s">
        <v>1078</v>
      </c>
      <c r="E191" s="5"/>
      <c r="F191" s="5"/>
      <c r="G191" s="5" t="s">
        <v>46</v>
      </c>
      <c r="H191" s="5" t="s">
        <v>46</v>
      </c>
      <c r="I191" s="5" t="s">
        <v>76</v>
      </c>
      <c r="J191" s="5"/>
      <c r="K191" s="5" t="s">
        <v>77</v>
      </c>
      <c r="L191" s="5" t="n">
        <v>2025</v>
      </c>
      <c r="M191" s="5" t="n">
        <v>2025</v>
      </c>
      <c r="N191" s="5" t="s">
        <v>49</v>
      </c>
      <c r="O191" s="5" t="s">
        <v>1079</v>
      </c>
      <c r="P191" s="5" t="s">
        <v>60</v>
      </c>
      <c r="Q191" s="5" t="s">
        <v>1080</v>
      </c>
      <c r="R191" s="5" t="s">
        <v>1081</v>
      </c>
      <c r="S191" s="5" t="s">
        <v>1082</v>
      </c>
      <c r="T191" s="5" t="s">
        <v>1083</v>
      </c>
      <c r="U191" s="5" t="s">
        <v>1084</v>
      </c>
      <c r="V191" s="5" t="s">
        <v>65</v>
      </c>
      <c r="W191" s="5" t="s">
        <v>1085</v>
      </c>
      <c r="X191" s="6"/>
      <c r="Y191" s="5" t="s">
        <v>58</v>
      </c>
    </row>
    <row r="192" customFormat="false" ht="90" hidden="false" customHeight="true" outlineLevel="0" collapsed="false">
      <c r="A192" s="5" t="s">
        <v>42</v>
      </c>
      <c r="B192" s="5" t="s">
        <v>43</v>
      </c>
      <c r="C192" s="5" t="s">
        <v>1077</v>
      </c>
      <c r="D192" s="5" t="s">
        <v>1078</v>
      </c>
      <c r="E192" s="5"/>
      <c r="F192" s="5"/>
      <c r="G192" s="5" t="s">
        <v>46</v>
      </c>
      <c r="H192" s="5" t="s">
        <v>46</v>
      </c>
      <c r="I192" s="5" t="s">
        <v>209</v>
      </c>
      <c r="J192" s="5"/>
      <c r="K192" s="5" t="s">
        <v>210</v>
      </c>
      <c r="L192" s="5" t="n">
        <v>2022</v>
      </c>
      <c r="M192" s="5" t="n">
        <v>2022</v>
      </c>
      <c r="N192" s="5" t="s">
        <v>49</v>
      </c>
      <c r="O192" s="5" t="s">
        <v>1086</v>
      </c>
      <c r="P192" s="5" t="s">
        <v>158</v>
      </c>
      <c r="Q192" s="5" t="s">
        <v>500</v>
      </c>
      <c r="R192" s="5" t="s">
        <v>360</v>
      </c>
      <c r="S192" s="5" t="s">
        <v>467</v>
      </c>
      <c r="T192" s="5" t="s">
        <v>469</v>
      </c>
      <c r="U192" s="5" t="s">
        <v>466</v>
      </c>
      <c r="V192" s="5" t="s">
        <v>162</v>
      </c>
      <c r="W192" s="5" t="s">
        <v>1085</v>
      </c>
      <c r="X192" s="6"/>
      <c r="Y192" s="5" t="s">
        <v>58</v>
      </c>
    </row>
    <row r="193" customFormat="false" ht="90" hidden="false" customHeight="true" outlineLevel="0" collapsed="false">
      <c r="A193" s="5" t="s">
        <v>42</v>
      </c>
      <c r="B193" s="5" t="s">
        <v>43</v>
      </c>
      <c r="C193" s="5" t="s">
        <v>1087</v>
      </c>
      <c r="D193" s="5" t="s">
        <v>1088</v>
      </c>
      <c r="E193" s="5"/>
      <c r="F193" s="5"/>
      <c r="G193" s="5" t="s">
        <v>46</v>
      </c>
      <c r="H193" s="5" t="s">
        <v>46</v>
      </c>
      <c r="I193" s="5" t="s">
        <v>363</v>
      </c>
      <c r="J193" s="5"/>
      <c r="K193" s="5" t="s">
        <v>364</v>
      </c>
      <c r="L193" s="5" t="n">
        <v>2023</v>
      </c>
      <c r="M193" s="5" t="n">
        <v>2023</v>
      </c>
      <c r="N193" s="5" t="s">
        <v>49</v>
      </c>
      <c r="O193" s="5" t="s">
        <v>1089</v>
      </c>
      <c r="P193" s="5" t="s">
        <v>158</v>
      </c>
      <c r="Q193" s="5" t="s">
        <v>1090</v>
      </c>
      <c r="R193" s="5" t="s">
        <v>1091</v>
      </c>
      <c r="S193" s="5" t="s">
        <v>1092</v>
      </c>
      <c r="T193" s="5" t="s">
        <v>1093</v>
      </c>
      <c r="U193" s="5" t="s">
        <v>1094</v>
      </c>
      <c r="V193" s="5" t="s">
        <v>162</v>
      </c>
      <c r="W193" s="5" t="s">
        <v>1095</v>
      </c>
      <c r="X193" s="6"/>
      <c r="Y193" s="5" t="s">
        <v>58</v>
      </c>
    </row>
    <row r="194" customFormat="false" ht="90" hidden="false" customHeight="true" outlineLevel="0" collapsed="false">
      <c r="A194" s="5" t="s">
        <v>42</v>
      </c>
      <c r="B194" s="5" t="s">
        <v>43</v>
      </c>
      <c r="C194" s="5" t="s">
        <v>1087</v>
      </c>
      <c r="D194" s="5" t="s">
        <v>1088</v>
      </c>
      <c r="E194" s="5"/>
      <c r="F194" s="5"/>
      <c r="G194" s="5" t="s">
        <v>46</v>
      </c>
      <c r="H194" s="5" t="s">
        <v>46</v>
      </c>
      <c r="I194" s="5" t="s">
        <v>249</v>
      </c>
      <c r="J194" s="5"/>
      <c r="K194" s="5" t="s">
        <v>261</v>
      </c>
      <c r="L194" s="5" t="n">
        <v>2019</v>
      </c>
      <c r="M194" s="5" t="n">
        <v>2019</v>
      </c>
      <c r="N194" s="5" t="s">
        <v>49</v>
      </c>
      <c r="O194" s="5" t="s">
        <v>1096</v>
      </c>
      <c r="P194" s="5" t="s">
        <v>69</v>
      </c>
      <c r="Q194" s="5" t="s">
        <v>1097</v>
      </c>
      <c r="R194" s="5" t="s">
        <v>1098</v>
      </c>
      <c r="S194" s="5" t="s">
        <v>1099</v>
      </c>
      <c r="T194" s="5" t="s">
        <v>1100</v>
      </c>
      <c r="U194" s="5" t="s">
        <v>1101</v>
      </c>
      <c r="V194" s="5" t="s">
        <v>75</v>
      </c>
      <c r="W194" s="5" t="s">
        <v>1095</v>
      </c>
      <c r="X194" s="6"/>
      <c r="Y194" s="5" t="s">
        <v>58</v>
      </c>
    </row>
    <row r="195" customFormat="false" ht="90" hidden="false" customHeight="true" outlineLevel="0" collapsed="false">
      <c r="A195" s="5" t="s">
        <v>42</v>
      </c>
      <c r="B195" s="5" t="s">
        <v>43</v>
      </c>
      <c r="C195" s="5" t="s">
        <v>1102</v>
      </c>
      <c r="D195" s="5" t="s">
        <v>1103</v>
      </c>
      <c r="E195" s="5"/>
      <c r="F195" s="5"/>
      <c r="G195" s="5" t="s">
        <v>46</v>
      </c>
      <c r="H195" s="5" t="s">
        <v>46</v>
      </c>
      <c r="I195" s="5" t="s">
        <v>249</v>
      </c>
      <c r="J195" s="5"/>
      <c r="K195" s="5" t="s">
        <v>261</v>
      </c>
      <c r="L195" s="5" t="n">
        <v>2019</v>
      </c>
      <c r="M195" s="5" t="n">
        <v>2019</v>
      </c>
      <c r="N195" s="5" t="s">
        <v>49</v>
      </c>
      <c r="O195" s="5" t="s">
        <v>1104</v>
      </c>
      <c r="P195" s="5" t="s">
        <v>98</v>
      </c>
      <c r="Q195" s="5" t="s">
        <v>1105</v>
      </c>
      <c r="R195" s="5" t="s">
        <v>1106</v>
      </c>
      <c r="S195" s="5" t="s">
        <v>1107</v>
      </c>
      <c r="T195" s="5" t="s">
        <v>1108</v>
      </c>
      <c r="U195" s="5" t="s">
        <v>1109</v>
      </c>
      <c r="V195" s="5" t="s">
        <v>104</v>
      </c>
      <c r="W195" s="5" t="s">
        <v>1110</v>
      </c>
      <c r="X195" s="6"/>
      <c r="Y195" s="5" t="s">
        <v>58</v>
      </c>
    </row>
    <row r="196" customFormat="false" ht="90" hidden="false" customHeight="true" outlineLevel="0" collapsed="false">
      <c r="A196" s="5" t="s">
        <v>42</v>
      </c>
      <c r="B196" s="5" t="s">
        <v>43</v>
      </c>
      <c r="C196" s="5" t="s">
        <v>1111</v>
      </c>
      <c r="D196" s="5" t="s">
        <v>1112</v>
      </c>
      <c r="E196" s="5"/>
      <c r="F196" s="5"/>
      <c r="G196" s="5" t="s">
        <v>46</v>
      </c>
      <c r="H196" s="5" t="s">
        <v>46</v>
      </c>
      <c r="I196" s="5" t="s">
        <v>47</v>
      </c>
      <c r="J196" s="5"/>
      <c r="K196" s="5" t="s">
        <v>48</v>
      </c>
      <c r="L196" s="5" t="n">
        <v>2026</v>
      </c>
      <c r="M196" s="5" t="n">
        <v>2026</v>
      </c>
      <c r="N196" s="5" t="s">
        <v>49</v>
      </c>
      <c r="O196" s="5" t="s">
        <v>1113</v>
      </c>
      <c r="P196" s="5" t="s">
        <v>60</v>
      </c>
      <c r="Q196" s="5" t="s">
        <v>726</v>
      </c>
      <c r="R196" s="5" t="s">
        <v>384</v>
      </c>
      <c r="S196" s="5" t="s">
        <v>386</v>
      </c>
      <c r="T196" s="5" t="s">
        <v>387</v>
      </c>
      <c r="U196" s="5"/>
      <c r="V196" s="5" t="s">
        <v>65</v>
      </c>
      <c r="W196" s="5" t="s">
        <v>1114</v>
      </c>
      <c r="X196" s="6"/>
      <c r="Y196" s="5" t="s">
        <v>58</v>
      </c>
    </row>
    <row r="197" customFormat="false" ht="90" hidden="false" customHeight="true" outlineLevel="0" collapsed="false">
      <c r="A197" s="5" t="s">
        <v>42</v>
      </c>
      <c r="B197" s="5" t="s">
        <v>43</v>
      </c>
      <c r="C197" s="5" t="s">
        <v>1111</v>
      </c>
      <c r="D197" s="5" t="s">
        <v>1112</v>
      </c>
      <c r="E197" s="5"/>
      <c r="F197" s="5"/>
      <c r="G197" s="5" t="s">
        <v>46</v>
      </c>
      <c r="H197" s="5" t="s">
        <v>46</v>
      </c>
      <c r="I197" s="5" t="s">
        <v>84</v>
      </c>
      <c r="J197" s="5"/>
      <c r="K197" s="5" t="s">
        <v>85</v>
      </c>
      <c r="L197" s="5" t="n">
        <v>2025</v>
      </c>
      <c r="M197" s="5" t="n">
        <v>2025</v>
      </c>
      <c r="N197" s="5" t="s">
        <v>49</v>
      </c>
      <c r="O197" s="5" t="s">
        <v>1115</v>
      </c>
      <c r="P197" s="5" t="s">
        <v>69</v>
      </c>
      <c r="Q197" s="5" t="s">
        <v>1116</v>
      </c>
      <c r="R197" s="5" t="s">
        <v>1117</v>
      </c>
      <c r="S197" s="5" t="s">
        <v>1118</v>
      </c>
      <c r="T197" s="5" t="s">
        <v>1119</v>
      </c>
      <c r="U197" s="5"/>
      <c r="V197" s="5" t="s">
        <v>75</v>
      </c>
      <c r="W197" s="5" t="s">
        <v>1114</v>
      </c>
      <c r="X197" s="6"/>
      <c r="Y197" s="5" t="s">
        <v>58</v>
      </c>
    </row>
    <row r="198" customFormat="false" ht="90" hidden="false" customHeight="true" outlineLevel="0" collapsed="false">
      <c r="A198" s="5" t="s">
        <v>42</v>
      </c>
      <c r="B198" s="5" t="s">
        <v>43</v>
      </c>
      <c r="C198" s="5" t="s">
        <v>1111</v>
      </c>
      <c r="D198" s="5" t="s">
        <v>1112</v>
      </c>
      <c r="E198" s="5"/>
      <c r="F198" s="5"/>
      <c r="G198" s="5" t="s">
        <v>46</v>
      </c>
      <c r="H198" s="5" t="s">
        <v>46</v>
      </c>
      <c r="I198" s="5" t="s">
        <v>283</v>
      </c>
      <c r="J198" s="5"/>
      <c r="K198" s="5" t="s">
        <v>284</v>
      </c>
      <c r="L198" s="5" t="n">
        <v>2024</v>
      </c>
      <c r="M198" s="5" t="n">
        <v>2024</v>
      </c>
      <c r="N198" s="5" t="s">
        <v>49</v>
      </c>
      <c r="O198" s="5" t="s">
        <v>1120</v>
      </c>
      <c r="P198" s="5" t="s">
        <v>158</v>
      </c>
      <c r="Q198" s="5" t="s">
        <v>1121</v>
      </c>
      <c r="R198" s="5" t="s">
        <v>1122</v>
      </c>
      <c r="S198" s="5" t="s">
        <v>1123</v>
      </c>
      <c r="T198" s="5" t="s">
        <v>1124</v>
      </c>
      <c r="U198" s="5" t="s">
        <v>1125</v>
      </c>
      <c r="V198" s="5" t="s">
        <v>162</v>
      </c>
      <c r="W198" s="5" t="s">
        <v>1114</v>
      </c>
      <c r="X198" s="6"/>
      <c r="Y198" s="5" t="s">
        <v>58</v>
      </c>
    </row>
    <row r="199" customFormat="false" ht="90" hidden="false" customHeight="true" outlineLevel="0" collapsed="false">
      <c r="A199" s="5" t="s">
        <v>42</v>
      </c>
      <c r="B199" s="5" t="s">
        <v>43</v>
      </c>
      <c r="C199" s="5" t="s">
        <v>1111</v>
      </c>
      <c r="D199" s="5" t="s">
        <v>1112</v>
      </c>
      <c r="E199" s="5"/>
      <c r="F199" s="5"/>
      <c r="G199" s="5" t="s">
        <v>46</v>
      </c>
      <c r="H199" s="5" t="s">
        <v>46</v>
      </c>
      <c r="I199" s="5" t="s">
        <v>283</v>
      </c>
      <c r="J199" s="5"/>
      <c r="K199" s="5" t="s">
        <v>284</v>
      </c>
      <c r="L199" s="5" t="n">
        <v>2024</v>
      </c>
      <c r="M199" s="5" t="n">
        <v>2024</v>
      </c>
      <c r="N199" s="5" t="s">
        <v>49</v>
      </c>
      <c r="O199" s="5" t="s">
        <v>1126</v>
      </c>
      <c r="P199" s="5" t="s">
        <v>51</v>
      </c>
      <c r="Q199" s="5" t="s">
        <v>1127</v>
      </c>
      <c r="R199" s="5" t="s">
        <v>1128</v>
      </c>
      <c r="S199" s="5" t="s">
        <v>1129</v>
      </c>
      <c r="T199" s="5" t="s">
        <v>1130</v>
      </c>
      <c r="U199" s="5" t="s">
        <v>1131</v>
      </c>
      <c r="V199" s="5" t="s">
        <v>56</v>
      </c>
      <c r="W199" s="5" t="s">
        <v>1114</v>
      </c>
      <c r="X199" s="6"/>
      <c r="Y199" s="5" t="s">
        <v>58</v>
      </c>
    </row>
    <row r="200" customFormat="false" ht="90" hidden="false" customHeight="true" outlineLevel="0" collapsed="false">
      <c r="A200" s="5" t="s">
        <v>42</v>
      </c>
      <c r="B200" s="5" t="s">
        <v>43</v>
      </c>
      <c r="C200" s="5" t="s">
        <v>1132</v>
      </c>
      <c r="D200" s="5" t="s">
        <v>1133</v>
      </c>
      <c r="E200" s="5"/>
      <c r="F200" s="5"/>
      <c r="G200" s="5" t="s">
        <v>46</v>
      </c>
      <c r="H200" s="5" t="s">
        <v>46</v>
      </c>
      <c r="I200" s="5" t="s">
        <v>126</v>
      </c>
      <c r="J200" s="5"/>
      <c r="K200" s="5" t="s">
        <v>127</v>
      </c>
      <c r="L200" s="5" t="n">
        <v>2025</v>
      </c>
      <c r="M200" s="5" t="n">
        <v>2025</v>
      </c>
      <c r="N200" s="5" t="s">
        <v>49</v>
      </c>
      <c r="O200" s="5" t="s">
        <v>1134</v>
      </c>
      <c r="P200" s="5" t="s">
        <v>60</v>
      </c>
      <c r="Q200" s="5" t="s">
        <v>1135</v>
      </c>
      <c r="R200" s="5" t="s">
        <v>1136</v>
      </c>
      <c r="S200" s="5" t="s">
        <v>1137</v>
      </c>
      <c r="T200" s="5" t="s">
        <v>1138</v>
      </c>
      <c r="U200" s="5" t="s">
        <v>1139</v>
      </c>
      <c r="V200" s="5" t="s">
        <v>65</v>
      </c>
      <c r="W200" s="5" t="s">
        <v>1140</v>
      </c>
      <c r="X200" s="6"/>
      <c r="Y200" s="5" t="s">
        <v>58</v>
      </c>
    </row>
    <row r="201" customFormat="false" ht="90" hidden="false" customHeight="true" outlineLevel="0" collapsed="false">
      <c r="A201" s="5" t="s">
        <v>42</v>
      </c>
      <c r="B201" s="5" t="s">
        <v>43</v>
      </c>
      <c r="C201" s="5" t="s">
        <v>1132</v>
      </c>
      <c r="D201" s="5" t="s">
        <v>1133</v>
      </c>
      <c r="E201" s="5"/>
      <c r="F201" s="5"/>
      <c r="G201" s="5" t="s">
        <v>46</v>
      </c>
      <c r="H201" s="5" t="s">
        <v>46</v>
      </c>
      <c r="I201" s="5" t="s">
        <v>47</v>
      </c>
      <c r="J201" s="5"/>
      <c r="K201" s="5" t="s">
        <v>117</v>
      </c>
      <c r="L201" s="5" t="n">
        <v>2024</v>
      </c>
      <c r="M201" s="5" t="n">
        <v>2024</v>
      </c>
      <c r="N201" s="5" t="s">
        <v>49</v>
      </c>
      <c r="O201" s="5" t="s">
        <v>1141</v>
      </c>
      <c r="P201" s="5" t="s">
        <v>51</v>
      </c>
      <c r="Q201" s="5" t="s">
        <v>1142</v>
      </c>
      <c r="R201" s="5" t="s">
        <v>1143</v>
      </c>
      <c r="S201" s="5" t="s">
        <v>1144</v>
      </c>
      <c r="T201" s="5" t="s">
        <v>1145</v>
      </c>
      <c r="U201" s="5" t="s">
        <v>1146</v>
      </c>
      <c r="V201" s="5" t="s">
        <v>56</v>
      </c>
      <c r="W201" s="5" t="s">
        <v>1140</v>
      </c>
      <c r="X201" s="6"/>
      <c r="Y201" s="5" t="s">
        <v>58</v>
      </c>
    </row>
    <row r="202" customFormat="false" ht="90" hidden="false" customHeight="true" outlineLevel="0" collapsed="false">
      <c r="A202" s="5" t="s">
        <v>42</v>
      </c>
      <c r="B202" s="5" t="s">
        <v>43</v>
      </c>
      <c r="C202" s="5" t="s">
        <v>1132</v>
      </c>
      <c r="D202" s="5" t="s">
        <v>1133</v>
      </c>
      <c r="E202" s="5"/>
      <c r="F202" s="5"/>
      <c r="G202" s="5" t="s">
        <v>46</v>
      </c>
      <c r="H202" s="5" t="s">
        <v>46</v>
      </c>
      <c r="I202" s="5" t="s">
        <v>155</v>
      </c>
      <c r="J202" s="5"/>
      <c r="K202" s="5" t="s">
        <v>361</v>
      </c>
      <c r="L202" s="5" t="n">
        <v>2024</v>
      </c>
      <c r="M202" s="5" t="n">
        <v>2024</v>
      </c>
      <c r="N202" s="5" t="s">
        <v>49</v>
      </c>
      <c r="O202" s="5" t="s">
        <v>1147</v>
      </c>
      <c r="P202" s="5" t="s">
        <v>60</v>
      </c>
      <c r="Q202" s="5" t="s">
        <v>206</v>
      </c>
      <c r="R202" s="5" t="s">
        <v>123</v>
      </c>
      <c r="S202" s="5" t="s">
        <v>121</v>
      </c>
      <c r="T202" s="5" t="s">
        <v>207</v>
      </c>
      <c r="U202" s="5" t="s">
        <v>208</v>
      </c>
      <c r="V202" s="5" t="s">
        <v>65</v>
      </c>
      <c r="W202" s="5" t="s">
        <v>1140</v>
      </c>
      <c r="X202" s="6"/>
      <c r="Y202" s="5" t="s">
        <v>58</v>
      </c>
    </row>
  </sheetData>
  <autoFilter ref="A1:Y202"/>
  <dataValidations count="3">
    <dataValidation allowBlank="false" error="Use exatamente: facil, media ou dificil." errorStyle="stop" errorTitle="Dificuldade inválida" operator="between" showDropDown="false" showErrorMessage="false" showInputMessage="false" sqref="N4:N501" type="list">
      <formula1>"facil,media,dificil"</formula1>
      <formula2>0</formula2>
    </dataValidation>
    <dataValidation allowBlank="false" error="Use uma letra de A a E." errorStyle="stop" errorTitle="Letra inválida" operator="between" showDropDown="false" showErrorMessage="false" showInputMessage="false" sqref="V4:V501" type="list">
      <formula1>"A,B,C,D,E"</formula1>
      <formula2>0</formula2>
    </dataValidation>
    <dataValidation allowBlank="true" errorStyle="stop" operator="between" showDropDown="false" showErrorMessage="false" showInputMessage="false" sqref="Y4:Y501" type="list">
      <formula1>"sim,não"</formula1>
      <formula2>0</formula2>
    </dataValidation>
  </dataValidations>
  <hyperlinks>
    <hyperlink ref="X26" r:id="rId1" display="https://seusite-questoes-prod.s3.sa-east-1.amazonaws.com/questions/attachments/EDUCAPB/gerais/483.png"/>
    <hyperlink ref="X32" r:id="rId2" display="https://seusite-questoes-prod.s3.sa-east-1.amazonaws.com/questions/attachments/EDUCAPB/gerais/489.png"/>
    <hyperlink ref="X43" r:id="rId3" display="https://seusite-questoes-prod.s3.sa-east-1.amazonaws.com/questions/attachments/EDUCAPB/gerais/500.png"/>
    <hyperlink ref="X56" r:id="rId4" display="https://seusite-questoes-prod.s3.sa-east-1.amazonaws.com/questions/attachments/EDUCAPB/gerais/513.png"/>
    <hyperlink ref="X72" r:id="rId5" display="https://seusite-questoes-prod.s3.sa-east-1.amazonaws.com/questions/attachments/EDUCAPB/gerais/529.png"/>
    <hyperlink ref="X100" r:id="rId6" display="https://seusite-questoes-prod.s3.sa-east-1.amazonaws.com/questions/attachments/EDUCAPB/gerais/557.png"/>
    <hyperlink ref="X105" r:id="rId7" display="https://seusite-questoes-prod.s3.sa-east-1.amazonaws.com/questions/attachments/EDUCAPB/gerais/562.png"/>
    <hyperlink ref="X106" r:id="rId8" display="https://seusite-questoes-prod.s3.sa-east-1.amazonaws.com/questions/attachments/EDUCAPB/gerais/563.png"/>
    <hyperlink ref="X108" r:id="rId9" display="https://seusite-questoes-prod.s3.sa-east-1.amazonaws.com/questions/attachments/EDUCAPB/gerais/565.png"/>
    <hyperlink ref="X109" r:id="rId10" display="https://seusite-questoes-prod.s3.sa-east-1.amazonaws.com/questions/attachments/EDUCAPB/gerais/566.png"/>
    <hyperlink ref="X112" r:id="rId11" display="https://seusite-questoes-prod.s3.sa-east-1.amazonaws.com/questions/attachments/EDUCAPB/gerais/569.png"/>
    <hyperlink ref="X113" r:id="rId12" display="https://seusite-questoes-prod.s3.sa-east-1.amazonaws.com/questions/attachments/EDUCAPB/gerais/570.png"/>
    <hyperlink ref="X132" r:id="rId13" display="https://seusite-questoes-prod.s3.sa-east-1.amazonaws.com/questions/attachments/EDUCAPB/gerais/588.png"/>
    <hyperlink ref="X133" r:id="rId14" display="https://seusite-questoes-prod.s3.sa-east-1.amazonaws.com/questions/attachments/EDUCAPB/gerais/589.png"/>
    <hyperlink ref="X138" r:id="rId15" display="https://seusite-questoes-prod.s3.sa-east-1.amazonaws.com/questions/attachments/EDUCAPB/gerais/595.p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worksheet>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2026-08-21T00:04:17Z</dcterms:created>
  <dc:creator>openpyxl</dc:creator>
  <dc:description/>
  <dc:language>pt-BR</dc:language>
  <cp:lastModifiedBy/>
  <dcterms:modified xsi:type="dcterms:W3CDTF">2026-08-21T00:41:10Z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